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. PERSONAL\5. Work\Portfolio\Nestle\Financial Modeling - One Drive\202610\"/>
    </mc:Choice>
  </mc:AlternateContent>
  <xr:revisionPtr revIDLastSave="0" documentId="13_ncr:1_{E0E2B858-05CB-4AAF-A600-243E097FDC70}" xr6:coauthVersionLast="36" xr6:coauthVersionMax="36" xr10:uidLastSave="{00000000-0000-0000-0000-000000000000}"/>
  <workbookProtection workbookAlgorithmName="SHA-512" workbookHashValue="YMxLt6XFmVJlUnb7lGNDUbkARxhCCQEMTyXPPnBu98FyBymzy92Ey9poHDUJqkzuh0c6k/1NE+y18GXx0rHP7g==" workbookSaltValue="xxipHtqbhV06HbYoG8HFag==" workbookSpinCount="100000" lockStructure="1"/>
  <bookViews>
    <workbookView xWindow="0" yWindow="0" windowWidth="23040" windowHeight="10284" xr2:uid="{3CA354C5-294F-4732-A987-EEEE5BF55886}"/>
  </bookViews>
  <sheets>
    <sheet name="Cover" sheetId="5" r:id="rId1"/>
    <sheet name="Dashboard" sheetId="8" r:id="rId2"/>
    <sheet name="Output" sheetId="4" r:id="rId3"/>
    <sheet name="Input" sheetId="1" r:id="rId4"/>
    <sheet name="Model" sheetId="3" r:id="rId5"/>
  </sheets>
  <definedNames>
    <definedName name="_xlchart.v1.0" hidden="1">Dashboard!$B$117:$B$124</definedName>
    <definedName name="_xlchart.v1.1" hidden="1">Dashboard!$P$117:$P$124</definedName>
    <definedName name="_xlchart.v1.2" hidden="1">Dashboard!$B$141:$B$148</definedName>
    <definedName name="_xlchart.v1.3" hidden="1">Dashboard!$P$141:$P$148</definedName>
    <definedName name="ScenarioSwitch">Input!$D$6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2" i="3" l="1"/>
  <c r="G161" i="3"/>
  <c r="G159" i="3"/>
  <c r="I112" i="3"/>
  <c r="G96" i="3"/>
  <c r="I289" i="3"/>
  <c r="G392" i="3"/>
  <c r="H390" i="3"/>
  <c r="G390" i="3"/>
  <c r="F390" i="3"/>
  <c r="F392" i="3" s="1"/>
  <c r="M388" i="3"/>
  <c r="I388" i="3"/>
  <c r="J388" i="3" s="1"/>
  <c r="K388" i="3" s="1"/>
  <c r="L388" i="3" s="1"/>
  <c r="M387" i="3"/>
  <c r="J387" i="3"/>
  <c r="K387" i="3" s="1"/>
  <c r="L387" i="3" s="1"/>
  <c r="I387" i="3"/>
  <c r="J385" i="3"/>
  <c r="I385" i="3"/>
  <c r="F382" i="3"/>
  <c r="F393" i="3" s="1"/>
  <c r="H381" i="3"/>
  <c r="G381" i="3"/>
  <c r="G382" i="3" s="1"/>
  <c r="G393" i="3" s="1"/>
  <c r="F381" i="3"/>
  <c r="I380" i="3"/>
  <c r="J380" i="3" s="1"/>
  <c r="K380" i="3" s="1"/>
  <c r="L380" i="3" s="1"/>
  <c r="M380" i="3" s="1"/>
  <c r="I378" i="3"/>
  <c r="J378" i="3" s="1"/>
  <c r="K378" i="3" s="1"/>
  <c r="K377" i="3"/>
  <c r="L377" i="3" s="1"/>
  <c r="I377" i="3"/>
  <c r="J377" i="3" s="1"/>
  <c r="K376" i="3"/>
  <c r="L376" i="3" s="1"/>
  <c r="M376" i="3" s="1"/>
  <c r="J376" i="3"/>
  <c r="I376" i="3"/>
  <c r="H372" i="3"/>
  <c r="G372" i="3"/>
  <c r="F372" i="3"/>
  <c r="J370" i="3"/>
  <c r="K370" i="3" s="1"/>
  <c r="L370" i="3" s="1"/>
  <c r="M370" i="3" s="1"/>
  <c r="I370" i="3"/>
  <c r="I369" i="3"/>
  <c r="J369" i="3" s="1"/>
  <c r="K369" i="3" s="1"/>
  <c r="L369" i="3" s="1"/>
  <c r="M369" i="3" s="1"/>
  <c r="K368" i="3"/>
  <c r="L368" i="3" s="1"/>
  <c r="M368" i="3" s="1"/>
  <c r="I368" i="3"/>
  <c r="J368" i="3" s="1"/>
  <c r="J365" i="3"/>
  <c r="K365" i="3" s="1"/>
  <c r="L365" i="3" s="1"/>
  <c r="M365" i="3" s="1"/>
  <c r="I365" i="3"/>
  <c r="H360" i="3"/>
  <c r="G360" i="3"/>
  <c r="F360" i="3"/>
  <c r="J359" i="3"/>
  <c r="K359" i="3" s="1"/>
  <c r="L359" i="3" s="1"/>
  <c r="M359" i="3" s="1"/>
  <c r="I359" i="3"/>
  <c r="J358" i="3"/>
  <c r="K358" i="3" s="1"/>
  <c r="L358" i="3" s="1"/>
  <c r="M358" i="3" s="1"/>
  <c r="I358" i="3"/>
  <c r="I357" i="3"/>
  <c r="J357" i="3" s="1"/>
  <c r="K357" i="3" s="1"/>
  <c r="L357" i="3" s="1"/>
  <c r="M357" i="3" s="1"/>
  <c r="I356" i="3"/>
  <c r="J356" i="3" s="1"/>
  <c r="K356" i="3" s="1"/>
  <c r="L356" i="3" s="1"/>
  <c r="M356" i="3" s="1"/>
  <c r="K348" i="3"/>
  <c r="L348" i="3" s="1"/>
  <c r="M348" i="3" s="1"/>
  <c r="J348" i="3"/>
  <c r="I348" i="3"/>
  <c r="I347" i="3"/>
  <c r="J347" i="3" s="1"/>
  <c r="K347" i="3" s="1"/>
  <c r="L347" i="3" s="1"/>
  <c r="M347" i="3" s="1"/>
  <c r="I346" i="3"/>
  <c r="J346" i="3" s="1"/>
  <c r="K346" i="3" s="1"/>
  <c r="L346" i="3" s="1"/>
  <c r="M346" i="3" s="1"/>
  <c r="J342" i="3"/>
  <c r="K342" i="3" s="1"/>
  <c r="L342" i="3" s="1"/>
  <c r="I342" i="3"/>
  <c r="B337" i="3"/>
  <c r="H324" i="3"/>
  <c r="G324" i="3"/>
  <c r="F324" i="3"/>
  <c r="F38" i="4" s="1"/>
  <c r="H313" i="3"/>
  <c r="H37" i="4" s="1"/>
  <c r="J122" i="8" s="1"/>
  <c r="G313" i="3"/>
  <c r="G37" i="4" s="1"/>
  <c r="I122" i="8" s="1"/>
  <c r="F313" i="3"/>
  <c r="F296" i="3"/>
  <c r="F302" i="3" s="1"/>
  <c r="H292" i="3"/>
  <c r="H296" i="3" s="1"/>
  <c r="H302" i="3" s="1"/>
  <c r="G292" i="3"/>
  <c r="G296" i="3" s="1"/>
  <c r="G302" i="3" s="1"/>
  <c r="F292" i="3"/>
  <c r="B283" i="3"/>
  <c r="H271" i="3"/>
  <c r="H275" i="3" s="1"/>
  <c r="H278" i="3" s="1"/>
  <c r="H267" i="3"/>
  <c r="G267" i="3"/>
  <c r="G271" i="3" s="1"/>
  <c r="G275" i="3" s="1"/>
  <c r="G278" i="3" s="1"/>
  <c r="G27" i="4" s="1"/>
  <c r="H263" i="3"/>
  <c r="G263" i="3"/>
  <c r="F263" i="3"/>
  <c r="F267" i="3" s="1"/>
  <c r="F271" i="3" s="1"/>
  <c r="F275" i="3" s="1"/>
  <c r="F278" i="3" s="1"/>
  <c r="F27" i="4" s="1"/>
  <c r="B252" i="3"/>
  <c r="H247" i="3"/>
  <c r="I245" i="3"/>
  <c r="H241" i="3"/>
  <c r="I237" i="3" s="1"/>
  <c r="M239" i="3"/>
  <c r="L239" i="3"/>
  <c r="K239" i="3"/>
  <c r="J239" i="3"/>
  <c r="I239" i="3"/>
  <c r="H233" i="3"/>
  <c r="I230" i="3"/>
  <c r="B226" i="3"/>
  <c r="H214" i="3"/>
  <c r="M213" i="3"/>
  <c r="L213" i="3"/>
  <c r="K213" i="3"/>
  <c r="J213" i="3"/>
  <c r="I213" i="3"/>
  <c r="D213" i="3"/>
  <c r="H211" i="3"/>
  <c r="I209" i="3" s="1"/>
  <c r="M204" i="3"/>
  <c r="L204" i="3"/>
  <c r="K204" i="3"/>
  <c r="J204" i="3"/>
  <c r="I204" i="3"/>
  <c r="B196" i="3"/>
  <c r="M190" i="3"/>
  <c r="L190" i="3"/>
  <c r="K190" i="3"/>
  <c r="J190" i="3"/>
  <c r="I190" i="3"/>
  <c r="D190" i="3"/>
  <c r="M185" i="3"/>
  <c r="L185" i="3"/>
  <c r="K185" i="3"/>
  <c r="J185" i="3"/>
  <c r="I185" i="3"/>
  <c r="F183" i="3"/>
  <c r="G181" i="3"/>
  <c r="M179" i="3"/>
  <c r="L179" i="3"/>
  <c r="K179" i="3"/>
  <c r="J179" i="3"/>
  <c r="I179" i="3"/>
  <c r="M175" i="3"/>
  <c r="L175" i="3"/>
  <c r="K175" i="3"/>
  <c r="J175" i="3"/>
  <c r="I175" i="3"/>
  <c r="D175" i="3"/>
  <c r="B167" i="3"/>
  <c r="H161" i="3"/>
  <c r="M159" i="3"/>
  <c r="L159" i="3"/>
  <c r="K159" i="3"/>
  <c r="J159" i="3"/>
  <c r="I159" i="3"/>
  <c r="H159" i="3"/>
  <c r="H158" i="3"/>
  <c r="H162" i="3" s="1"/>
  <c r="G158" i="3"/>
  <c r="H157" i="3"/>
  <c r="G157" i="3"/>
  <c r="F157" i="3"/>
  <c r="H156" i="3"/>
  <c r="G156" i="3"/>
  <c r="B153" i="3"/>
  <c r="H145" i="3"/>
  <c r="I142" i="3" s="1"/>
  <c r="D127" i="3"/>
  <c r="B121" i="3"/>
  <c r="H114" i="3"/>
  <c r="I111" i="3" s="1"/>
  <c r="D108" i="3"/>
  <c r="D107" i="3"/>
  <c r="F104" i="3"/>
  <c r="G100" i="3" s="1"/>
  <c r="G101" i="3"/>
  <c r="F97" i="3"/>
  <c r="H95" i="3"/>
  <c r="G93" i="3"/>
  <c r="H89" i="3"/>
  <c r="H102" i="3" s="1"/>
  <c r="H85" i="3"/>
  <c r="G85" i="3"/>
  <c r="H87" i="3" s="1"/>
  <c r="H88" i="3" s="1"/>
  <c r="F85" i="3"/>
  <c r="H84" i="3"/>
  <c r="G84" i="3"/>
  <c r="F84" i="3"/>
  <c r="G87" i="3" s="1"/>
  <c r="M83" i="3"/>
  <c r="L83" i="3"/>
  <c r="K83" i="3"/>
  <c r="J83" i="3"/>
  <c r="I83" i="3"/>
  <c r="M82" i="3"/>
  <c r="L82" i="3"/>
  <c r="K82" i="3"/>
  <c r="J82" i="3"/>
  <c r="I82" i="3"/>
  <c r="I87" i="3" s="1"/>
  <c r="M78" i="3"/>
  <c r="L78" i="3"/>
  <c r="K78" i="3"/>
  <c r="J78" i="3"/>
  <c r="I78" i="3"/>
  <c r="H78" i="3"/>
  <c r="H79" i="3" s="1"/>
  <c r="H101" i="3" s="1"/>
  <c r="G78" i="3"/>
  <c r="G79" i="3" s="1"/>
  <c r="F78" i="3"/>
  <c r="F79" i="3" s="1"/>
  <c r="H75" i="3"/>
  <c r="H76" i="3" s="1"/>
  <c r="H94" i="3" s="1"/>
  <c r="G75" i="3"/>
  <c r="G76" i="3" s="1"/>
  <c r="G94" i="3" s="1"/>
  <c r="F75" i="3"/>
  <c r="F76" i="3" s="1"/>
  <c r="B71" i="3"/>
  <c r="H65" i="3"/>
  <c r="G65" i="3"/>
  <c r="H64" i="3"/>
  <c r="G64" i="3"/>
  <c r="H63" i="3"/>
  <c r="G63" i="3"/>
  <c r="H62" i="3"/>
  <c r="G62" i="3"/>
  <c r="H61" i="3"/>
  <c r="H66" i="3" s="1"/>
  <c r="G61" i="3"/>
  <c r="M50" i="3"/>
  <c r="L50" i="3"/>
  <c r="K50" i="3"/>
  <c r="J50" i="3"/>
  <c r="I50" i="3"/>
  <c r="H50" i="3"/>
  <c r="G50" i="3"/>
  <c r="M49" i="3"/>
  <c r="L49" i="3"/>
  <c r="K49" i="3"/>
  <c r="J49" i="3"/>
  <c r="I49" i="3"/>
  <c r="G48" i="3"/>
  <c r="H47" i="3"/>
  <c r="F47" i="3"/>
  <c r="H43" i="3"/>
  <c r="G43" i="3"/>
  <c r="G47" i="3" s="1"/>
  <c r="F43" i="3"/>
  <c r="H42" i="3"/>
  <c r="G42" i="3"/>
  <c r="F42" i="3"/>
  <c r="M41" i="3"/>
  <c r="L41" i="3"/>
  <c r="K41" i="3"/>
  <c r="J41" i="3"/>
  <c r="I41" i="3"/>
  <c r="H41" i="3"/>
  <c r="G41" i="3"/>
  <c r="F41" i="3"/>
  <c r="B38" i="3"/>
  <c r="M31" i="3"/>
  <c r="L31" i="3"/>
  <c r="K31" i="3"/>
  <c r="J31" i="3"/>
  <c r="I31" i="3"/>
  <c r="B27" i="3"/>
  <c r="M22" i="3"/>
  <c r="L22" i="3"/>
  <c r="K22" i="3"/>
  <c r="J22" i="3"/>
  <c r="I22" i="3"/>
  <c r="H22" i="3"/>
  <c r="G22" i="3"/>
  <c r="F22" i="3"/>
  <c r="M21" i="3"/>
  <c r="L21" i="3"/>
  <c r="K21" i="3"/>
  <c r="J21" i="3"/>
  <c r="I21" i="3"/>
  <c r="M19" i="3"/>
  <c r="L19" i="3"/>
  <c r="K19" i="3"/>
  <c r="J19" i="3"/>
  <c r="I19" i="3"/>
  <c r="M14" i="3"/>
  <c r="L14" i="3"/>
  <c r="K14" i="3"/>
  <c r="J14" i="3"/>
  <c r="I14" i="3"/>
  <c r="B6" i="3"/>
  <c r="I83" i="1"/>
  <c r="D6" i="1"/>
  <c r="B338" i="3" s="1"/>
  <c r="J2" i="1"/>
  <c r="I2" i="1"/>
  <c r="B182" i="4"/>
  <c r="B169" i="4"/>
  <c r="B153" i="4"/>
  <c r="B142" i="4"/>
  <c r="B129" i="4"/>
  <c r="G121" i="4"/>
  <c r="H119" i="4"/>
  <c r="B110" i="4"/>
  <c r="B76" i="4"/>
  <c r="H68" i="4"/>
  <c r="G68" i="4"/>
  <c r="F68" i="4"/>
  <c r="G67" i="4"/>
  <c r="G69" i="4" s="1"/>
  <c r="F67" i="4"/>
  <c r="F69" i="4" s="1"/>
  <c r="H63" i="4"/>
  <c r="G63" i="4"/>
  <c r="F63" i="4"/>
  <c r="H62" i="4"/>
  <c r="G62" i="4"/>
  <c r="F62" i="4"/>
  <c r="H59" i="4"/>
  <c r="G59" i="4"/>
  <c r="F59" i="4"/>
  <c r="H58" i="4"/>
  <c r="G58" i="4"/>
  <c r="F58" i="4"/>
  <c r="H54" i="4"/>
  <c r="G54" i="4"/>
  <c r="F54" i="4"/>
  <c r="H53" i="4"/>
  <c r="H55" i="4" s="1"/>
  <c r="G53" i="4"/>
  <c r="F53" i="4"/>
  <c r="F55" i="4" s="1"/>
  <c r="H50" i="4"/>
  <c r="G50" i="4"/>
  <c r="F50" i="4"/>
  <c r="H49" i="4"/>
  <c r="G49" i="4"/>
  <c r="F49" i="4"/>
  <c r="H48" i="4"/>
  <c r="G48" i="4"/>
  <c r="F48" i="4"/>
  <c r="B44" i="4"/>
  <c r="H38" i="4"/>
  <c r="G38" i="4"/>
  <c r="I123" i="8" s="1"/>
  <c r="F37" i="4"/>
  <c r="H122" i="8" s="1"/>
  <c r="H36" i="4"/>
  <c r="G36" i="4"/>
  <c r="B33" i="4"/>
  <c r="H27" i="4"/>
  <c r="H26" i="4"/>
  <c r="G26" i="4"/>
  <c r="F26" i="4"/>
  <c r="H23" i="4"/>
  <c r="G23" i="4"/>
  <c r="I136" i="8" s="1"/>
  <c r="F23" i="4"/>
  <c r="H22" i="4"/>
  <c r="G22" i="4"/>
  <c r="F22" i="4"/>
  <c r="H19" i="4"/>
  <c r="G19" i="4"/>
  <c r="F19" i="4"/>
  <c r="H145" i="8" s="1"/>
  <c r="H16" i="4"/>
  <c r="J144" i="8" s="1"/>
  <c r="G16" i="4"/>
  <c r="I144" i="8" s="1"/>
  <c r="F16" i="4"/>
  <c r="H144" i="8" s="1"/>
  <c r="H13" i="4"/>
  <c r="J143" i="8" s="1"/>
  <c r="G13" i="4"/>
  <c r="I143" i="8" s="1"/>
  <c r="F13" i="4"/>
  <c r="H143" i="8" s="1"/>
  <c r="H10" i="4"/>
  <c r="J142" i="8" s="1"/>
  <c r="G10" i="4"/>
  <c r="G122" i="4" s="1"/>
  <c r="I113" i="8" s="1"/>
  <c r="F10" i="4"/>
  <c r="F121" i="4" s="1"/>
  <c r="H9" i="4"/>
  <c r="J101" i="8" s="1"/>
  <c r="G9" i="4"/>
  <c r="F9" i="4"/>
  <c r="B6" i="4"/>
  <c r="J157" i="8"/>
  <c r="I157" i="8"/>
  <c r="H157" i="8"/>
  <c r="J156" i="8"/>
  <c r="I156" i="8"/>
  <c r="H156" i="8"/>
  <c r="J155" i="8"/>
  <c r="I155" i="8"/>
  <c r="H155" i="8"/>
  <c r="J154" i="8"/>
  <c r="I154" i="8"/>
  <c r="H154" i="8"/>
  <c r="J153" i="8"/>
  <c r="I153" i="8"/>
  <c r="H153" i="8"/>
  <c r="J152" i="8"/>
  <c r="I152" i="8"/>
  <c r="H152" i="8"/>
  <c r="J151" i="8"/>
  <c r="I151" i="8"/>
  <c r="H151" i="8"/>
  <c r="J150" i="8"/>
  <c r="I150" i="8"/>
  <c r="H150" i="8"/>
  <c r="J147" i="8"/>
  <c r="I146" i="8"/>
  <c r="H146" i="8"/>
  <c r="J145" i="8"/>
  <c r="I145" i="8"/>
  <c r="I142" i="8"/>
  <c r="H142" i="8"/>
  <c r="J136" i="8"/>
  <c r="J135" i="8"/>
  <c r="I135" i="8"/>
  <c r="H135" i="8"/>
  <c r="J123" i="8"/>
  <c r="H123" i="8"/>
  <c r="J121" i="8"/>
  <c r="I121" i="8"/>
  <c r="H121" i="8"/>
  <c r="J120" i="8"/>
  <c r="I120" i="8"/>
  <c r="H120" i="8"/>
  <c r="J119" i="8"/>
  <c r="I119" i="8"/>
  <c r="H119" i="8"/>
  <c r="J118" i="8"/>
  <c r="I118" i="8"/>
  <c r="H118" i="8"/>
  <c r="J117" i="8"/>
  <c r="I117" i="8"/>
  <c r="H117" i="8"/>
  <c r="I101" i="8"/>
  <c r="H100" i="8"/>
  <c r="P99" i="8"/>
  <c r="B2" i="8"/>
  <c r="D26" i="5"/>
  <c r="C26" i="5"/>
  <c r="D25" i="5"/>
  <c r="C25" i="5"/>
  <c r="C24" i="5"/>
  <c r="H134" i="8" l="1"/>
  <c r="G120" i="4"/>
  <c r="I112" i="8" s="1"/>
  <c r="I134" i="8"/>
  <c r="H120" i="4"/>
  <c r="J112" i="8" s="1"/>
  <c r="G60" i="4"/>
  <c r="J124" i="8"/>
  <c r="K45" i="1"/>
  <c r="K15" i="3" s="1"/>
  <c r="I93" i="1"/>
  <c r="I47" i="3" s="1"/>
  <c r="B143" i="4"/>
  <c r="M17" i="1"/>
  <c r="M10" i="3" s="1"/>
  <c r="L59" i="1"/>
  <c r="L17" i="3" s="1"/>
  <c r="I141" i="1"/>
  <c r="B154" i="3"/>
  <c r="J52" i="1"/>
  <c r="J16" i="3" s="1"/>
  <c r="K52" i="1"/>
  <c r="K16" i="3" s="1"/>
  <c r="K10" i="1"/>
  <c r="K9" i="3" s="1"/>
  <c r="K66" i="1"/>
  <c r="K18" i="3" s="1"/>
  <c r="B168" i="3"/>
  <c r="J93" i="1"/>
  <c r="J47" i="3" s="1"/>
  <c r="I10" i="1"/>
  <c r="I9" i="3" s="1"/>
  <c r="I255" i="3" s="1"/>
  <c r="I79" i="3" s="1"/>
  <c r="M52" i="1"/>
  <c r="M16" i="3" s="1"/>
  <c r="B34" i="4"/>
  <c r="J66" i="1"/>
  <c r="J18" i="3" s="1"/>
  <c r="L141" i="1"/>
  <c r="B170" i="4"/>
  <c r="J31" i="1"/>
  <c r="J12" i="3" s="1"/>
  <c r="I148" i="1"/>
  <c r="I33" i="3" s="1"/>
  <c r="I156" i="3" s="1"/>
  <c r="I161" i="3" s="1"/>
  <c r="I301" i="3" s="1"/>
  <c r="B111" i="4"/>
  <c r="K59" i="1"/>
  <c r="K17" i="3" s="1"/>
  <c r="J134" i="1"/>
  <c r="J30" i="3" s="1"/>
  <c r="I66" i="1"/>
  <c r="I18" i="3" s="1"/>
  <c r="L24" i="1"/>
  <c r="L11" i="3" s="1"/>
  <c r="I31" i="1"/>
  <c r="I12" i="3" s="1"/>
  <c r="B45" i="4"/>
  <c r="L31" i="1"/>
  <c r="L12" i="3" s="1"/>
  <c r="I86" i="1"/>
  <c r="I46" i="3" s="1"/>
  <c r="J148" i="1"/>
  <c r="J33" i="3" s="1"/>
  <c r="J156" i="3" s="1"/>
  <c r="I59" i="1"/>
  <c r="I17" i="3" s="1"/>
  <c r="M116" i="1"/>
  <c r="M75" i="3" s="1"/>
  <c r="L17" i="1"/>
  <c r="L10" i="3" s="1"/>
  <c r="J141" i="1"/>
  <c r="I124" i="8"/>
  <c r="I116" i="1"/>
  <c r="I75" i="3" s="1"/>
  <c r="J17" i="1"/>
  <c r="J10" i="3" s="1"/>
  <c r="K17" i="1"/>
  <c r="K10" i="3" s="1"/>
  <c r="B154" i="4"/>
  <c r="L93" i="1"/>
  <c r="L47" i="3" s="1"/>
  <c r="K116" i="1"/>
  <c r="K75" i="3" s="1"/>
  <c r="J59" i="1"/>
  <c r="J17" i="3" s="1"/>
  <c r="B2" i="4"/>
  <c r="K24" i="1"/>
  <c r="K11" i="3" s="1"/>
  <c r="K141" i="1"/>
  <c r="B7" i="4"/>
  <c r="B183" i="4"/>
  <c r="I38" i="1"/>
  <c r="I13" i="3" s="1"/>
  <c r="J86" i="1"/>
  <c r="J46" i="3" s="1"/>
  <c r="L148" i="1"/>
  <c r="L33" i="3" s="1"/>
  <c r="L156" i="3" s="1"/>
  <c r="B2" i="1"/>
  <c r="B2" i="3" s="1"/>
  <c r="K38" i="1"/>
  <c r="K13" i="3" s="1"/>
  <c r="K86" i="1"/>
  <c r="K46" i="3" s="1"/>
  <c r="M148" i="1"/>
  <c r="M33" i="3" s="1"/>
  <c r="M156" i="3" s="1"/>
  <c r="J45" i="1"/>
  <c r="J15" i="3" s="1"/>
  <c r="L86" i="1"/>
  <c r="L46" i="3" s="1"/>
  <c r="H156" i="4"/>
  <c r="H114" i="4"/>
  <c r="H118" i="4"/>
  <c r="H117" i="4"/>
  <c r="H85" i="4"/>
  <c r="H84" i="4"/>
  <c r="J141" i="8"/>
  <c r="H11" i="4"/>
  <c r="K385" i="3"/>
  <c r="J131" i="1"/>
  <c r="J161" i="1"/>
  <c r="J83" i="1"/>
  <c r="K2" i="1"/>
  <c r="J113" i="1"/>
  <c r="J8" i="1"/>
  <c r="G66" i="3"/>
  <c r="I126" i="8"/>
  <c r="I116" i="8"/>
  <c r="H93" i="4"/>
  <c r="G88" i="3"/>
  <c r="G95" i="3" s="1"/>
  <c r="G89" i="3"/>
  <c r="G102" i="3" s="1"/>
  <c r="H124" i="8"/>
  <c r="F114" i="4"/>
  <c r="F117" i="4"/>
  <c r="F85" i="4"/>
  <c r="F97" i="4"/>
  <c r="F11" i="4"/>
  <c r="H101" i="8"/>
  <c r="F93" i="4"/>
  <c r="F84" i="4"/>
  <c r="H141" i="8"/>
  <c r="F89" i="4"/>
  <c r="G114" i="4"/>
  <c r="G156" i="4"/>
  <c r="G118" i="4"/>
  <c r="G93" i="4"/>
  <c r="G85" i="4"/>
  <c r="G117" i="4"/>
  <c r="G84" i="4"/>
  <c r="I141" i="8"/>
  <c r="G11" i="4"/>
  <c r="G89" i="4"/>
  <c r="J126" i="8"/>
  <c r="J116" i="8"/>
  <c r="F103" i="4"/>
  <c r="F134" i="4"/>
  <c r="F64" i="4"/>
  <c r="H97" i="4"/>
  <c r="J146" i="8"/>
  <c r="L378" i="3"/>
  <c r="M378" i="3" s="1"/>
  <c r="H89" i="4"/>
  <c r="G327" i="3"/>
  <c r="G330" i="3" s="1"/>
  <c r="G332" i="3" s="1"/>
  <c r="G341" i="3" s="1"/>
  <c r="F120" i="4"/>
  <c r="H112" i="8" s="1"/>
  <c r="F119" i="4"/>
  <c r="H327" i="3"/>
  <c r="H330" i="3" s="1"/>
  <c r="H332" i="3" s="1"/>
  <c r="G103" i="4"/>
  <c r="G134" i="4"/>
  <c r="G64" i="4"/>
  <c r="G65" i="4" s="1"/>
  <c r="G133" i="4" s="1"/>
  <c r="H147" i="8"/>
  <c r="H136" i="8"/>
  <c r="H392" i="3"/>
  <c r="H67" i="4"/>
  <c r="H69" i="4" s="1"/>
  <c r="F327" i="3"/>
  <c r="F330" i="3" s="1"/>
  <c r="F332" i="3" s="1"/>
  <c r="F341" i="3" s="1"/>
  <c r="F36" i="4"/>
  <c r="H122" i="4"/>
  <c r="J113" i="8" s="1"/>
  <c r="H60" i="4"/>
  <c r="J134" i="8"/>
  <c r="I2" i="3"/>
  <c r="I131" i="1"/>
  <c r="I113" i="1"/>
  <c r="I161" i="1"/>
  <c r="I2" i="4"/>
  <c r="I8" i="1"/>
  <c r="F50" i="3"/>
  <c r="F48" i="3"/>
  <c r="F46" i="3"/>
  <c r="F49" i="3"/>
  <c r="I132" i="3"/>
  <c r="I288" i="3"/>
  <c r="F118" i="4"/>
  <c r="G49" i="3"/>
  <c r="G46" i="3"/>
  <c r="I147" i="8"/>
  <c r="H49" i="3"/>
  <c r="H46" i="3"/>
  <c r="I88" i="3"/>
  <c r="M342" i="3"/>
  <c r="M377" i="3"/>
  <c r="H121" i="4"/>
  <c r="G182" i="3"/>
  <c r="G183" i="3" s="1"/>
  <c r="G55" i="4"/>
  <c r="G119" i="4"/>
  <c r="H48" i="3"/>
  <c r="H103" i="4"/>
  <c r="H64" i="4"/>
  <c r="H65" i="4" s="1"/>
  <c r="G97" i="4"/>
  <c r="B197" i="3"/>
  <c r="K148" i="1"/>
  <c r="K33" i="3" s="1"/>
  <c r="K156" i="3" s="1"/>
  <c r="I100" i="1"/>
  <c r="I48" i="3" s="1"/>
  <c r="M73" i="1"/>
  <c r="M20" i="3" s="1"/>
  <c r="L52" i="1"/>
  <c r="L16" i="3" s="1"/>
  <c r="K31" i="1"/>
  <c r="K12" i="3" s="1"/>
  <c r="J10" i="1"/>
  <c r="J9" i="3" s="1"/>
  <c r="B284" i="3"/>
  <c r="B28" i="3"/>
  <c r="M141" i="1"/>
  <c r="L116" i="1"/>
  <c r="L75" i="3" s="1"/>
  <c r="K93" i="1"/>
  <c r="K47" i="3" s="1"/>
  <c r="J73" i="1"/>
  <c r="J20" i="3" s="1"/>
  <c r="I52" i="1"/>
  <c r="I16" i="3" s="1"/>
  <c r="M24" i="1"/>
  <c r="M11" i="3" s="1"/>
  <c r="B227" i="3"/>
  <c r="I134" i="1"/>
  <c r="I30" i="3" s="1"/>
  <c r="K100" i="1"/>
  <c r="K48" i="3" s="1"/>
  <c r="L73" i="1"/>
  <c r="L20" i="3" s="1"/>
  <c r="M45" i="1"/>
  <c r="M15" i="3" s="1"/>
  <c r="J24" i="1"/>
  <c r="J11" i="3" s="1"/>
  <c r="J100" i="1"/>
  <c r="J48" i="3" s="1"/>
  <c r="K73" i="1"/>
  <c r="K20" i="3" s="1"/>
  <c r="L45" i="1"/>
  <c r="L15" i="3" s="1"/>
  <c r="I24" i="1"/>
  <c r="I11" i="3" s="1"/>
  <c r="I257" i="3" s="1"/>
  <c r="B253" i="3"/>
  <c r="M134" i="1"/>
  <c r="M30" i="3" s="1"/>
  <c r="M100" i="1"/>
  <c r="M48" i="3" s="1"/>
  <c r="I73" i="1"/>
  <c r="I20" i="3" s="1"/>
  <c r="I274" i="3" s="1"/>
  <c r="I45" i="1"/>
  <c r="I15" i="3" s="1"/>
  <c r="I17" i="1"/>
  <c r="I10" i="3" s="1"/>
  <c r="B77" i="4"/>
  <c r="B122" i="3"/>
  <c r="L134" i="1"/>
  <c r="L30" i="3" s="1"/>
  <c r="L100" i="1"/>
  <c r="L48" i="3" s="1"/>
  <c r="M66" i="1"/>
  <c r="M18" i="3" s="1"/>
  <c r="M38" i="1"/>
  <c r="M13" i="3" s="1"/>
  <c r="M10" i="1"/>
  <c r="M9" i="3" s="1"/>
  <c r="B130" i="4"/>
  <c r="K134" i="1"/>
  <c r="K30" i="3" s="1"/>
  <c r="M93" i="1"/>
  <c r="M47" i="3" s="1"/>
  <c r="L66" i="1"/>
  <c r="L18" i="3" s="1"/>
  <c r="L38" i="1"/>
  <c r="L13" i="3" s="1"/>
  <c r="L10" i="1"/>
  <c r="L9" i="3" s="1"/>
  <c r="B72" i="3"/>
  <c r="B39" i="3"/>
  <c r="B7" i="3"/>
  <c r="M86" i="1"/>
  <c r="M46" i="3" s="1"/>
  <c r="M59" i="1"/>
  <c r="M17" i="3" s="1"/>
  <c r="M31" i="1"/>
  <c r="M12" i="3" s="1"/>
  <c r="J38" i="1"/>
  <c r="J13" i="3" s="1"/>
  <c r="J116" i="1"/>
  <c r="J75" i="3" s="1"/>
  <c r="G191" i="3"/>
  <c r="G219" i="3" s="1"/>
  <c r="H382" i="3"/>
  <c r="F122" i="4"/>
  <c r="H113" i="8" s="1"/>
  <c r="F60" i="4"/>
  <c r="H70" i="4" l="1"/>
  <c r="I259" i="3"/>
  <c r="K152" i="8" s="1"/>
  <c r="I76" i="3"/>
  <c r="I94" i="3" s="1"/>
  <c r="J255" i="3"/>
  <c r="K255" i="3" s="1"/>
  <c r="I262" i="3"/>
  <c r="K154" i="8" s="1"/>
  <c r="I265" i="3"/>
  <c r="I256" i="3"/>
  <c r="I263" i="3" s="1"/>
  <c r="I267" i="3" s="1"/>
  <c r="I266" i="3"/>
  <c r="K155" i="8" s="1"/>
  <c r="I261" i="3"/>
  <c r="I42" i="3"/>
  <c r="I56" i="3" s="1"/>
  <c r="I63" i="3" s="1"/>
  <c r="I258" i="3"/>
  <c r="K151" i="8" s="1"/>
  <c r="I260" i="3"/>
  <c r="K153" i="8" s="1"/>
  <c r="G187" i="3"/>
  <c r="G186" i="3"/>
  <c r="H181" i="3"/>
  <c r="G97" i="3"/>
  <c r="H93" i="3" s="1"/>
  <c r="H134" i="4"/>
  <c r="F65" i="4"/>
  <c r="F83" i="4"/>
  <c r="F14" i="4"/>
  <c r="I43" i="3"/>
  <c r="J257" i="3"/>
  <c r="I10" i="4"/>
  <c r="K150" i="8"/>
  <c r="I129" i="4"/>
  <c r="I153" i="4"/>
  <c r="I44" i="4"/>
  <c r="I33" i="4"/>
  <c r="I6" i="4"/>
  <c r="I142" i="4"/>
  <c r="J2" i="4"/>
  <c r="H2" i="4"/>
  <c r="I110" i="4"/>
  <c r="I76" i="4"/>
  <c r="I182" i="4"/>
  <c r="I169" i="4"/>
  <c r="K99" i="8"/>
  <c r="J260" i="3"/>
  <c r="L153" i="8" s="1"/>
  <c r="J262" i="3"/>
  <c r="J266" i="3"/>
  <c r="L155" i="8" s="1"/>
  <c r="J261" i="3"/>
  <c r="J256" i="3"/>
  <c r="H133" i="4"/>
  <c r="F123" i="4"/>
  <c r="H114" i="8" s="1"/>
  <c r="H111" i="8"/>
  <c r="G83" i="4"/>
  <c r="G14" i="4"/>
  <c r="I16" i="4"/>
  <c r="H393" i="3"/>
  <c r="G123" i="4"/>
  <c r="I114" i="8" s="1"/>
  <c r="I111" i="8"/>
  <c r="J274" i="3"/>
  <c r="I23" i="4"/>
  <c r="I158" i="3"/>
  <c r="I162" i="3" s="1"/>
  <c r="I355" i="3" s="1"/>
  <c r="I157" i="3" s="1"/>
  <c r="I89" i="3"/>
  <c r="I102" i="3" s="1"/>
  <c r="I95" i="3"/>
  <c r="F349" i="3"/>
  <c r="F361" i="3" s="1"/>
  <c r="F395" i="3" s="1"/>
  <c r="G171" i="3"/>
  <c r="G176" i="3" s="1"/>
  <c r="G220" i="3" s="1"/>
  <c r="G221" i="3" s="1"/>
  <c r="F47" i="4"/>
  <c r="H171" i="3"/>
  <c r="H176" i="3" s="1"/>
  <c r="H220" i="3" s="1"/>
  <c r="G173" i="3"/>
  <c r="G349" i="3"/>
  <c r="G361" i="3" s="1"/>
  <c r="G395" i="3" s="1"/>
  <c r="G47" i="4"/>
  <c r="G70" i="4"/>
  <c r="I131" i="8"/>
  <c r="I100" i="8"/>
  <c r="I101" i="3"/>
  <c r="I306" i="3"/>
  <c r="I305" i="3"/>
  <c r="I313" i="3" s="1"/>
  <c r="G103" i="3"/>
  <c r="G104" i="3" s="1"/>
  <c r="H100" i="3" s="1"/>
  <c r="H83" i="4"/>
  <c r="H14" i="4"/>
  <c r="I153" i="3"/>
  <c r="I252" i="3"/>
  <c r="J2" i="3"/>
  <c r="I337" i="3"/>
  <c r="I283" i="3"/>
  <c r="I226" i="3"/>
  <c r="I167" i="3"/>
  <c r="I196" i="3"/>
  <c r="H2" i="3"/>
  <c r="I27" i="3"/>
  <c r="I121" i="3"/>
  <c r="I38" i="3"/>
  <c r="I71" i="3"/>
  <c r="I6" i="3"/>
  <c r="H341" i="3"/>
  <c r="I329" i="3"/>
  <c r="K161" i="1"/>
  <c r="L2" i="1"/>
  <c r="K8" i="1"/>
  <c r="K83" i="1"/>
  <c r="K131" i="1"/>
  <c r="K113" i="1"/>
  <c r="H123" i="4"/>
  <c r="J114" i="8" s="1"/>
  <c r="J111" i="8"/>
  <c r="H126" i="8"/>
  <c r="H116" i="8"/>
  <c r="I55" i="3"/>
  <c r="L385" i="3"/>
  <c r="J100" i="8"/>
  <c r="J131" i="8"/>
  <c r="J258" i="3" l="1"/>
  <c r="L151" i="8" s="1"/>
  <c r="J76" i="3"/>
  <c r="J94" i="3" s="1"/>
  <c r="J265" i="3"/>
  <c r="J85" i="4" s="1"/>
  <c r="J259" i="3"/>
  <c r="L152" i="8" s="1"/>
  <c r="I9" i="4"/>
  <c r="I84" i="4" s="1"/>
  <c r="J9" i="4"/>
  <c r="L141" i="8" s="1"/>
  <c r="I13" i="4"/>
  <c r="K143" i="8" s="1"/>
  <c r="J79" i="3"/>
  <c r="J101" i="3" s="1"/>
  <c r="J42" i="3"/>
  <c r="I345" i="3"/>
  <c r="I50" i="4" s="1"/>
  <c r="I53" i="3"/>
  <c r="H103" i="3"/>
  <c r="H104" i="3" s="1"/>
  <c r="I100" i="3" s="1"/>
  <c r="I104" i="3" s="1"/>
  <c r="H96" i="3"/>
  <c r="H97" i="3" s="1"/>
  <c r="I93" i="3" s="1"/>
  <c r="I97" i="3" s="1"/>
  <c r="H110" i="4"/>
  <c r="H44" i="4"/>
  <c r="H6" i="4"/>
  <c r="H153" i="4"/>
  <c r="H169" i="4"/>
  <c r="H33" i="4"/>
  <c r="H76" i="4"/>
  <c r="H142" i="4"/>
  <c r="H129" i="4"/>
  <c r="H182" i="4"/>
  <c r="G2" i="4"/>
  <c r="J99" i="8"/>
  <c r="J169" i="4"/>
  <c r="J142" i="4"/>
  <c r="K2" i="4"/>
  <c r="J44" i="4"/>
  <c r="J6" i="4"/>
  <c r="J129" i="4"/>
  <c r="J153" i="4"/>
  <c r="J33" i="4"/>
  <c r="J110" i="4"/>
  <c r="J76" i="4"/>
  <c r="J182" i="4"/>
  <c r="L99" i="8"/>
  <c r="I37" i="4"/>
  <c r="K122" i="8" s="1"/>
  <c r="I202" i="3"/>
  <c r="H121" i="3"/>
  <c r="H196" i="3"/>
  <c r="H337" i="3"/>
  <c r="H283" i="3"/>
  <c r="H226" i="3"/>
  <c r="H167" i="3"/>
  <c r="G2" i="3"/>
  <c r="H153" i="3"/>
  <c r="H38" i="3"/>
  <c r="H252" i="3"/>
  <c r="H71" i="3"/>
  <c r="H6" i="3"/>
  <c r="H27" i="3"/>
  <c r="G157" i="4"/>
  <c r="I132" i="8" s="1"/>
  <c r="G147" i="4"/>
  <c r="I128" i="8" s="1"/>
  <c r="G17" i="4"/>
  <c r="I102" i="8"/>
  <c r="G86" i="4"/>
  <c r="G135" i="4"/>
  <c r="J161" i="3"/>
  <c r="J301" i="3" s="1"/>
  <c r="G87" i="4"/>
  <c r="I103" i="8"/>
  <c r="H191" i="3"/>
  <c r="H219" i="3" s="1"/>
  <c r="H221" i="3" s="1"/>
  <c r="H182" i="3"/>
  <c r="H183" i="3" s="1"/>
  <c r="L8" i="1"/>
  <c r="L161" i="1"/>
  <c r="M2" i="1"/>
  <c r="L113" i="1"/>
  <c r="L83" i="1"/>
  <c r="L131" i="1"/>
  <c r="K136" i="8"/>
  <c r="K147" i="8"/>
  <c r="L154" i="8"/>
  <c r="J289" i="3"/>
  <c r="J56" i="3"/>
  <c r="J53" i="3"/>
  <c r="J103" i="8"/>
  <c r="F133" i="4"/>
  <c r="F70" i="4"/>
  <c r="I366" i="3"/>
  <c r="I58" i="4" s="1"/>
  <c r="I121" i="4" s="1"/>
  <c r="I64" i="3"/>
  <c r="K259" i="3"/>
  <c r="M152" i="8" s="1"/>
  <c r="L255" i="3"/>
  <c r="K266" i="3"/>
  <c r="M155" i="8" s="1"/>
  <c r="K262" i="3"/>
  <c r="K265" i="3"/>
  <c r="K261" i="3"/>
  <c r="K256" i="3"/>
  <c r="K9" i="4" s="1"/>
  <c r="K42" i="3"/>
  <c r="K76" i="3"/>
  <c r="K260" i="3"/>
  <c r="M153" i="8" s="1"/>
  <c r="K258" i="3"/>
  <c r="M151" i="8" s="1"/>
  <c r="K79" i="3"/>
  <c r="H157" i="4"/>
  <c r="J132" i="8" s="1"/>
  <c r="H147" i="4"/>
  <c r="J128" i="8" s="1"/>
  <c r="H86" i="4"/>
  <c r="J102" i="8"/>
  <c r="H17" i="4"/>
  <c r="H135" i="4"/>
  <c r="F147" i="4"/>
  <c r="H128" i="8" s="1"/>
  <c r="F17" i="4"/>
  <c r="F86" i="4"/>
  <c r="H102" i="8"/>
  <c r="F135" i="4"/>
  <c r="H103" i="8"/>
  <c r="F87" i="4"/>
  <c r="J305" i="3"/>
  <c r="I113" i="3"/>
  <c r="I133" i="3" s="1"/>
  <c r="K144" i="8"/>
  <c r="I89" i="4"/>
  <c r="J23" i="4"/>
  <c r="J158" i="3"/>
  <c r="K274" i="3"/>
  <c r="I200" i="3"/>
  <c r="K117" i="8"/>
  <c r="G116" i="4"/>
  <c r="G51" i="4"/>
  <c r="G136" i="4"/>
  <c r="I127" i="8" s="1"/>
  <c r="G115" i="4"/>
  <c r="H349" i="3"/>
  <c r="H361" i="3" s="1"/>
  <c r="H395" i="3" s="1"/>
  <c r="H173" i="3"/>
  <c r="H172" i="3" s="1"/>
  <c r="I32" i="3"/>
  <c r="I171" i="3"/>
  <c r="H47" i="4"/>
  <c r="J153" i="3"/>
  <c r="J71" i="3"/>
  <c r="J226" i="3"/>
  <c r="J196" i="3"/>
  <c r="J27" i="3"/>
  <c r="J283" i="3"/>
  <c r="J167" i="3"/>
  <c r="J337" i="3"/>
  <c r="K2" i="3"/>
  <c r="J38" i="3"/>
  <c r="J252" i="3"/>
  <c r="J6" i="3"/>
  <c r="J121" i="3"/>
  <c r="K142" i="8"/>
  <c r="J43" i="3"/>
  <c r="K257" i="3"/>
  <c r="J10" i="4"/>
  <c r="L150" i="8"/>
  <c r="F116" i="4"/>
  <c r="F51" i="4"/>
  <c r="F115" i="4"/>
  <c r="F136" i="4"/>
  <c r="H127" i="8" s="1"/>
  <c r="I287" i="3"/>
  <c r="G172" i="3"/>
  <c r="M385" i="3"/>
  <c r="J306" i="3"/>
  <c r="I57" i="3"/>
  <c r="I54" i="3"/>
  <c r="K141" i="8" l="1"/>
  <c r="I85" i="4"/>
  <c r="K101" i="8"/>
  <c r="I11" i="4"/>
  <c r="I156" i="4"/>
  <c r="K100" i="8" s="1"/>
  <c r="L101" i="8"/>
  <c r="J156" i="4"/>
  <c r="L100" i="8" s="1"/>
  <c r="J263" i="3"/>
  <c r="J267" i="3" s="1"/>
  <c r="J287" i="3" s="1"/>
  <c r="K134" i="8"/>
  <c r="J162" i="3"/>
  <c r="J355" i="3" s="1"/>
  <c r="J157" i="3" s="1"/>
  <c r="K161" i="3" s="1"/>
  <c r="K301" i="3" s="1"/>
  <c r="I114" i="3"/>
  <c r="J111" i="3" s="1"/>
  <c r="J313" i="3"/>
  <c r="J202" i="3" s="1"/>
  <c r="K263" i="3"/>
  <c r="K267" i="3" s="1"/>
  <c r="I344" i="3"/>
  <c r="I48" i="4" s="1"/>
  <c r="I61" i="3"/>
  <c r="I353" i="3"/>
  <c r="J353" i="3" s="1"/>
  <c r="K119" i="8"/>
  <c r="K287" i="3"/>
  <c r="H186" i="3"/>
  <c r="H187" i="3" s="1"/>
  <c r="I181" i="3"/>
  <c r="I354" i="3"/>
  <c r="J100" i="3"/>
  <c r="I352" i="3"/>
  <c r="J93" i="3"/>
  <c r="L136" i="8"/>
  <c r="L147" i="8"/>
  <c r="I343" i="3"/>
  <c r="I49" i="4" s="1"/>
  <c r="I62" i="3"/>
  <c r="J104" i="8"/>
  <c r="K306" i="3"/>
  <c r="K101" i="3"/>
  <c r="I246" i="3"/>
  <c r="I247" i="3" s="1"/>
  <c r="I319" i="3"/>
  <c r="G56" i="4"/>
  <c r="G145" i="4"/>
  <c r="I129" i="8" s="1"/>
  <c r="G146" i="4"/>
  <c r="I130" i="8" s="1"/>
  <c r="K169" i="4"/>
  <c r="K76" i="4"/>
  <c r="K142" i="4"/>
  <c r="L2" i="4"/>
  <c r="K182" i="4"/>
  <c r="K129" i="4"/>
  <c r="K153" i="4"/>
  <c r="K44" i="4"/>
  <c r="K33" i="4"/>
  <c r="K6" i="4"/>
  <c r="K110" i="4"/>
  <c r="M99" i="8"/>
  <c r="I292" i="3"/>
  <c r="K118" i="8"/>
  <c r="H187" i="4"/>
  <c r="H158" i="4"/>
  <c r="H161" i="4" s="1"/>
  <c r="H20" i="4"/>
  <c r="H90" i="4"/>
  <c r="H91" i="4" s="1"/>
  <c r="I65" i="3"/>
  <c r="I367" i="3"/>
  <c r="K85" i="4"/>
  <c r="M141" i="8"/>
  <c r="M101" i="8"/>
  <c r="K156" i="4"/>
  <c r="K289" i="3"/>
  <c r="M154" i="8"/>
  <c r="G20" i="4"/>
  <c r="G187" i="4"/>
  <c r="G90" i="4"/>
  <c r="G158" i="4"/>
  <c r="G161" i="4" s="1"/>
  <c r="L142" i="8"/>
  <c r="L260" i="3"/>
  <c r="N153" i="8" s="1"/>
  <c r="L259" i="3"/>
  <c r="N152" i="8" s="1"/>
  <c r="M255" i="3"/>
  <c r="L79" i="3"/>
  <c r="L76" i="3"/>
  <c r="L258" i="3"/>
  <c r="N151" i="8" s="1"/>
  <c r="L262" i="3"/>
  <c r="L266" i="3"/>
  <c r="N155" i="8" s="1"/>
  <c r="L256" i="3"/>
  <c r="L261" i="3"/>
  <c r="L265" i="3"/>
  <c r="L42" i="3"/>
  <c r="L9" i="4"/>
  <c r="J57" i="3"/>
  <c r="J54" i="3"/>
  <c r="J62" i="3" s="1"/>
  <c r="J55" i="3"/>
  <c r="M131" i="1"/>
  <c r="M161" i="1"/>
  <c r="M113" i="1"/>
  <c r="M8" i="1"/>
  <c r="M83" i="1"/>
  <c r="I122" i="4"/>
  <c r="K113" i="8" s="1"/>
  <c r="H116" i="4"/>
  <c r="H51" i="4"/>
  <c r="H115" i="4"/>
  <c r="H136" i="4"/>
  <c r="J127" i="8" s="1"/>
  <c r="H87" i="4"/>
  <c r="K305" i="3"/>
  <c r="K94" i="3"/>
  <c r="K112" i="3" s="1"/>
  <c r="J344" i="3"/>
  <c r="J48" i="4" s="1"/>
  <c r="J61" i="3"/>
  <c r="K63" i="3"/>
  <c r="J345" i="3"/>
  <c r="J50" i="4" s="1"/>
  <c r="J63" i="3"/>
  <c r="L274" i="3"/>
  <c r="K23" i="4"/>
  <c r="K158" i="3"/>
  <c r="G110" i="4"/>
  <c r="G6" i="4"/>
  <c r="G76" i="4"/>
  <c r="G169" i="4"/>
  <c r="G44" i="4"/>
  <c r="G142" i="4"/>
  <c r="I99" i="8"/>
  <c r="G129" i="4"/>
  <c r="G182" i="4"/>
  <c r="G33" i="4"/>
  <c r="F2" i="4"/>
  <c r="G153" i="4"/>
  <c r="L118" i="8"/>
  <c r="I83" i="4"/>
  <c r="I14" i="4"/>
  <c r="L257" i="3"/>
  <c r="K43" i="3"/>
  <c r="K10" i="4"/>
  <c r="K11" i="4" s="1"/>
  <c r="M150" i="8"/>
  <c r="J112" i="3"/>
  <c r="J11" i="4"/>
  <c r="K53" i="3"/>
  <c r="K61" i="3" s="1"/>
  <c r="K56" i="3"/>
  <c r="G121" i="3"/>
  <c r="G153" i="3"/>
  <c r="G196" i="3"/>
  <c r="G226" i="3"/>
  <c r="G167" i="3"/>
  <c r="G283" i="3"/>
  <c r="F2" i="3"/>
  <c r="G38" i="3"/>
  <c r="G71" i="3"/>
  <c r="G337" i="3"/>
  <c r="G252" i="3"/>
  <c r="G6" i="3"/>
  <c r="G27" i="3"/>
  <c r="K252" i="3"/>
  <c r="K196" i="3"/>
  <c r="K71" i="3"/>
  <c r="K6" i="3"/>
  <c r="K27" i="3"/>
  <c r="K167" i="3"/>
  <c r="K337" i="3"/>
  <c r="K283" i="3"/>
  <c r="K38" i="3"/>
  <c r="K153" i="3"/>
  <c r="K121" i="3"/>
  <c r="K226" i="3"/>
  <c r="L2" i="3"/>
  <c r="H104" i="8"/>
  <c r="F56" i="4"/>
  <c r="F146" i="4"/>
  <c r="H130" i="8" s="1"/>
  <c r="F145" i="4"/>
  <c r="H129" i="8" s="1"/>
  <c r="F20" i="4"/>
  <c r="F187" i="4"/>
  <c r="F90" i="4"/>
  <c r="F91" i="4" s="1"/>
  <c r="G91" i="4"/>
  <c r="I104" i="8"/>
  <c r="L131" i="8" l="1"/>
  <c r="K131" i="8"/>
  <c r="J37" i="4"/>
  <c r="L122" i="8" s="1"/>
  <c r="K313" i="3"/>
  <c r="K202" i="3" s="1"/>
  <c r="K353" i="3"/>
  <c r="K162" i="3"/>
  <c r="K355" i="3" s="1"/>
  <c r="K157" i="3" s="1"/>
  <c r="I118" i="4"/>
  <c r="K111" i="8" s="1"/>
  <c r="I117" i="4"/>
  <c r="J113" i="3"/>
  <c r="J133" i="3" s="1"/>
  <c r="I66" i="3"/>
  <c r="I294" i="3" s="1"/>
  <c r="K120" i="8" s="1"/>
  <c r="L161" i="3"/>
  <c r="L301" i="3" s="1"/>
  <c r="F132" i="4"/>
  <c r="H139" i="8" s="1"/>
  <c r="F174" i="4"/>
  <c r="F189" i="4"/>
  <c r="F188" i="4"/>
  <c r="F113" i="4"/>
  <c r="H138" i="8" s="1"/>
  <c r="F173" i="4"/>
  <c r="M100" i="8"/>
  <c r="M131" i="8"/>
  <c r="I386" i="3"/>
  <c r="J245" i="3"/>
  <c r="J367" i="3"/>
  <c r="J65" i="3"/>
  <c r="I85" i="3"/>
  <c r="I54" i="4"/>
  <c r="M142" i="8"/>
  <c r="N101" i="8"/>
  <c r="L85" i="4"/>
  <c r="N141" i="8"/>
  <c r="L156" i="4"/>
  <c r="L169" i="4"/>
  <c r="L76" i="4"/>
  <c r="L182" i="4"/>
  <c r="L129" i="4"/>
  <c r="L153" i="4"/>
  <c r="M2" i="4"/>
  <c r="L44" i="4"/>
  <c r="L33" i="4"/>
  <c r="L6" i="4"/>
  <c r="L110" i="4"/>
  <c r="N99" i="8"/>
  <c r="L142" i="4"/>
  <c r="J83" i="4"/>
  <c r="J118" i="4"/>
  <c r="J117" i="4"/>
  <c r="M260" i="3"/>
  <c r="O153" i="8" s="1"/>
  <c r="M79" i="3"/>
  <c r="M76" i="3"/>
  <c r="M266" i="3"/>
  <c r="O155" i="8" s="1"/>
  <c r="M42" i="3"/>
  <c r="M256" i="3"/>
  <c r="M9" i="4" s="1"/>
  <c r="M265" i="3"/>
  <c r="M258" i="3"/>
  <c r="O151" i="8" s="1"/>
  <c r="M262" i="3"/>
  <c r="M261" i="3"/>
  <c r="M259" i="3"/>
  <c r="O152" i="8" s="1"/>
  <c r="K57" i="3"/>
  <c r="K54" i="3"/>
  <c r="K62" i="3" s="1"/>
  <c r="K55" i="3"/>
  <c r="M257" i="3"/>
  <c r="L43" i="3"/>
  <c r="L10" i="4"/>
  <c r="N150" i="8"/>
  <c r="J105" i="8"/>
  <c r="L252" i="3"/>
  <c r="M2" i="3"/>
  <c r="L283" i="3"/>
  <c r="L6" i="3"/>
  <c r="L121" i="3"/>
  <c r="L196" i="3"/>
  <c r="L71" i="3"/>
  <c r="L27" i="3"/>
  <c r="L167" i="3"/>
  <c r="L153" i="3"/>
  <c r="L38" i="3"/>
  <c r="L337" i="3"/>
  <c r="L226" i="3"/>
  <c r="J66" i="3"/>
  <c r="J294" i="3" s="1"/>
  <c r="L120" i="8" s="1"/>
  <c r="H186" i="4"/>
  <c r="H24" i="4"/>
  <c r="H94" i="4"/>
  <c r="H104" i="4"/>
  <c r="H101" i="4"/>
  <c r="J366" i="3"/>
  <c r="J58" i="4" s="1"/>
  <c r="J64" i="3"/>
  <c r="J343" i="3"/>
  <c r="J49" i="4" s="1"/>
  <c r="H105" i="8"/>
  <c r="I191" i="3"/>
  <c r="I182" i="3"/>
  <c r="I322" i="3" s="1"/>
  <c r="F24" i="4"/>
  <c r="F104" i="4"/>
  <c r="F186" i="4"/>
  <c r="F94" i="4"/>
  <c r="F95" i="4" s="1"/>
  <c r="F101" i="4"/>
  <c r="I17" i="4"/>
  <c r="I86" i="4"/>
  <c r="I87" i="4" s="1"/>
  <c r="K102" i="8"/>
  <c r="I157" i="4"/>
  <c r="K132" i="8" s="1"/>
  <c r="M118" i="8"/>
  <c r="K103" i="8"/>
  <c r="M136" i="8"/>
  <c r="M147" i="8"/>
  <c r="H145" i="4"/>
  <c r="J129" i="8" s="1"/>
  <c r="H146" i="4"/>
  <c r="J130" i="8" s="1"/>
  <c r="H56" i="4"/>
  <c r="K344" i="3"/>
  <c r="K48" i="4" s="1"/>
  <c r="L289" i="3"/>
  <c r="L353" i="3" s="1"/>
  <c r="N154" i="8"/>
  <c r="F182" i="4"/>
  <c r="F110" i="4"/>
  <c r="F169" i="4"/>
  <c r="F76" i="4"/>
  <c r="F153" i="4"/>
  <c r="F142" i="4"/>
  <c r="F44" i="4"/>
  <c r="F6" i="4"/>
  <c r="F33" i="4"/>
  <c r="H99" i="8"/>
  <c r="F129" i="4"/>
  <c r="I120" i="4"/>
  <c r="I119" i="4"/>
  <c r="L94" i="3"/>
  <c r="L305" i="3"/>
  <c r="L306" i="3"/>
  <c r="L101" i="3"/>
  <c r="K83" i="4"/>
  <c r="F71" i="3"/>
  <c r="F196" i="3"/>
  <c r="F283" i="3"/>
  <c r="F38" i="3"/>
  <c r="F153" i="3"/>
  <c r="F6" i="3"/>
  <c r="F337" i="3"/>
  <c r="F252" i="3"/>
  <c r="F27" i="3"/>
  <c r="F167" i="3"/>
  <c r="F121" i="3"/>
  <c r="F226" i="3"/>
  <c r="G174" i="4"/>
  <c r="G189" i="4"/>
  <c r="G132" i="4"/>
  <c r="I139" i="8" s="1"/>
  <c r="G160" i="4"/>
  <c r="G173" i="4"/>
  <c r="G188" i="4"/>
  <c r="G113" i="4"/>
  <c r="I138" i="8" s="1"/>
  <c r="I360" i="3"/>
  <c r="I84" i="3"/>
  <c r="I53" i="4"/>
  <c r="L56" i="3"/>
  <c r="L53" i="3"/>
  <c r="L263" i="3"/>
  <c r="L267" i="3" s="1"/>
  <c r="I105" i="8"/>
  <c r="K345" i="3"/>
  <c r="K50" i="4" s="1"/>
  <c r="M274" i="3"/>
  <c r="L158" i="3"/>
  <c r="L23" i="4"/>
  <c r="G186" i="4"/>
  <c r="G94" i="4"/>
  <c r="G24" i="4"/>
  <c r="G104" i="4"/>
  <c r="G101" i="4"/>
  <c r="L162" i="3" l="1"/>
  <c r="L355" i="3" s="1"/>
  <c r="L157" i="3" s="1"/>
  <c r="K37" i="4"/>
  <c r="M122" i="8" s="1"/>
  <c r="J87" i="3"/>
  <c r="I296" i="3"/>
  <c r="M263" i="3"/>
  <c r="M267" i="3" s="1"/>
  <c r="J114" i="3"/>
  <c r="K111" i="3" s="1"/>
  <c r="K113" i="3" s="1"/>
  <c r="K133" i="3" s="1"/>
  <c r="M161" i="3"/>
  <c r="M301" i="3" s="1"/>
  <c r="M287" i="3"/>
  <c r="I55" i="4"/>
  <c r="I114" i="4"/>
  <c r="H185" i="4"/>
  <c r="H98" i="4"/>
  <c r="J106" i="8" s="1"/>
  <c r="Q106" i="8" s="1"/>
  <c r="H172" i="4"/>
  <c r="H80" i="4"/>
  <c r="J109" i="8" s="1"/>
  <c r="Q109" i="8" s="1"/>
  <c r="H159" i="4"/>
  <c r="J148" i="8"/>
  <c r="Q148" i="8" s="1"/>
  <c r="H102" i="4"/>
  <c r="H79" i="4"/>
  <c r="J108" i="8" s="1"/>
  <c r="Q108" i="8" s="1"/>
  <c r="J107" i="8"/>
  <c r="Q107" i="8" s="1"/>
  <c r="H81" i="4"/>
  <c r="H95" i="4"/>
  <c r="G172" i="4"/>
  <c r="G175" i="4" s="1"/>
  <c r="G185" i="4"/>
  <c r="G190" i="4" s="1"/>
  <c r="G98" i="4"/>
  <c r="I106" i="8" s="1"/>
  <c r="G81" i="4"/>
  <c r="I148" i="8"/>
  <c r="G80" i="4"/>
  <c r="I109" i="8" s="1"/>
  <c r="G159" i="4"/>
  <c r="G79" i="4"/>
  <c r="I108" i="8" s="1"/>
  <c r="I107" i="8"/>
  <c r="G102" i="4"/>
  <c r="M76" i="4"/>
  <c r="M129" i="4"/>
  <c r="M142" i="4"/>
  <c r="M44" i="4"/>
  <c r="M33" i="4"/>
  <c r="M182" i="4"/>
  <c r="O99" i="8"/>
  <c r="M153" i="4"/>
  <c r="M6" i="4"/>
  <c r="M110" i="4"/>
  <c r="M169" i="4"/>
  <c r="N136" i="8"/>
  <c r="N147" i="8"/>
  <c r="K366" i="3"/>
  <c r="K58" i="4" s="1"/>
  <c r="K64" i="3"/>
  <c r="K66" i="3" s="1"/>
  <c r="K294" i="3" s="1"/>
  <c r="M120" i="8" s="1"/>
  <c r="M103" i="8"/>
  <c r="K343" i="3"/>
  <c r="K49" i="4" s="1"/>
  <c r="M101" i="3"/>
  <c r="M306" i="3"/>
  <c r="M158" i="3"/>
  <c r="M23" i="4"/>
  <c r="K104" i="8"/>
  <c r="P104" i="8" s="1"/>
  <c r="J120" i="4"/>
  <c r="L112" i="8" s="1"/>
  <c r="J119" i="4"/>
  <c r="K367" i="3"/>
  <c r="K65" i="3"/>
  <c r="P152" i="8"/>
  <c r="P143" i="8"/>
  <c r="P134" i="8"/>
  <c r="Q155" i="8"/>
  <c r="Q146" i="8"/>
  <c r="Q153" i="8"/>
  <c r="Q144" i="8"/>
  <c r="P153" i="8"/>
  <c r="P132" i="8"/>
  <c r="P118" i="8"/>
  <c r="P101" i="8"/>
  <c r="B7" i="8" s="1"/>
  <c r="Q130" i="8"/>
  <c r="Q121" i="8"/>
  <c r="Q112" i="8"/>
  <c r="Q156" i="8"/>
  <c r="P150" i="8"/>
  <c r="P147" i="8"/>
  <c r="Q145" i="8"/>
  <c r="Q128" i="8"/>
  <c r="Q119" i="8"/>
  <c r="Q102" i="8"/>
  <c r="P154" i="8"/>
  <c r="Q141" i="8"/>
  <c r="Q131" i="8"/>
  <c r="Q104" i="8"/>
  <c r="P102" i="8"/>
  <c r="Q100" i="8"/>
  <c r="P141" i="8"/>
  <c r="P100" i="8"/>
  <c r="F80" i="8" s="1"/>
  <c r="P131" i="8"/>
  <c r="Q117" i="8"/>
  <c r="Q143" i="8"/>
  <c r="P119" i="8"/>
  <c r="P117" i="8"/>
  <c r="Q147" i="8"/>
  <c r="P144" i="8"/>
  <c r="P122" i="8"/>
  <c r="Q111" i="8"/>
  <c r="Q105" i="8"/>
  <c r="Q152" i="8"/>
  <c r="Q157" i="8"/>
  <c r="P111" i="8"/>
  <c r="N80" i="8" s="1"/>
  <c r="Q134" i="8"/>
  <c r="Q124" i="8"/>
  <c r="Q113" i="8"/>
  <c r="P136" i="8"/>
  <c r="Q116" i="8"/>
  <c r="P155" i="8"/>
  <c r="P113" i="8"/>
  <c r="K83" i="8" s="1"/>
  <c r="Q150" i="8"/>
  <c r="Q136" i="8"/>
  <c r="Q99" i="8"/>
  <c r="Q123" i="8"/>
  <c r="Q154" i="8"/>
  <c r="Q114" i="8"/>
  <c r="Q135" i="8"/>
  <c r="Q122" i="8"/>
  <c r="Q151" i="8"/>
  <c r="Q101" i="8"/>
  <c r="Q126" i="8"/>
  <c r="P120" i="8"/>
  <c r="P151" i="8"/>
  <c r="Q132" i="8"/>
  <c r="Q118" i="8"/>
  <c r="Q142" i="8"/>
  <c r="P142" i="8"/>
  <c r="Q103" i="8"/>
  <c r="Q129" i="8"/>
  <c r="Q120" i="8"/>
  <c r="P103" i="8"/>
  <c r="Q127" i="8"/>
  <c r="M289" i="3"/>
  <c r="M353" i="3" s="1"/>
  <c r="O154" i="8"/>
  <c r="I137" i="8"/>
  <c r="G82" i="4"/>
  <c r="I110" i="8" s="1"/>
  <c r="M56" i="3"/>
  <c r="M345" i="3" s="1"/>
  <c r="M50" i="4" s="1"/>
  <c r="M53" i="3"/>
  <c r="M344" i="3" s="1"/>
  <c r="M48" i="4" s="1"/>
  <c r="M118" i="4" s="1"/>
  <c r="M305" i="3"/>
  <c r="M94" i="3"/>
  <c r="N131" i="8"/>
  <c r="N100" i="8"/>
  <c r="L345" i="3"/>
  <c r="L50" i="4" s="1"/>
  <c r="F172" i="4"/>
  <c r="F175" i="4" s="1"/>
  <c r="F176" i="4" s="1"/>
  <c r="F98" i="4"/>
  <c r="H106" i="8" s="1"/>
  <c r="F81" i="4"/>
  <c r="F80" i="4"/>
  <c r="H109" i="8" s="1"/>
  <c r="H107" i="8"/>
  <c r="F79" i="4"/>
  <c r="H108" i="8" s="1"/>
  <c r="H148" i="8"/>
  <c r="F102" i="4"/>
  <c r="F185" i="4"/>
  <c r="F190" i="4" s="1"/>
  <c r="F191" i="4" s="1"/>
  <c r="M156" i="4"/>
  <c r="O141" i="8"/>
  <c r="M85" i="4"/>
  <c r="O101" i="8"/>
  <c r="I183" i="3"/>
  <c r="L57" i="3"/>
  <c r="L54" i="3"/>
  <c r="L62" i="3" s="1"/>
  <c r="L55" i="3"/>
  <c r="I158" i="4"/>
  <c r="I161" i="4" s="1"/>
  <c r="I90" i="4"/>
  <c r="I187" i="4"/>
  <c r="L313" i="3"/>
  <c r="L111" i="8"/>
  <c r="H137" i="8"/>
  <c r="F82" i="4"/>
  <c r="H110" i="8" s="1"/>
  <c r="G95" i="4"/>
  <c r="L344" i="3"/>
  <c r="L48" i="4" s="1"/>
  <c r="M196" i="3"/>
  <c r="M226" i="3"/>
  <c r="M121" i="3"/>
  <c r="M6" i="3"/>
  <c r="M153" i="3"/>
  <c r="M283" i="3"/>
  <c r="M167" i="3"/>
  <c r="M337" i="3"/>
  <c r="M252" i="3"/>
  <c r="M71" i="3"/>
  <c r="M27" i="3"/>
  <c r="M38" i="3"/>
  <c r="J288" i="3"/>
  <c r="J132" i="3"/>
  <c r="J88" i="3"/>
  <c r="J95" i="3" s="1"/>
  <c r="J97" i="3" s="1"/>
  <c r="N142" i="8"/>
  <c r="M43" i="3"/>
  <c r="O150" i="8"/>
  <c r="M10" i="4"/>
  <c r="M11" i="4" s="1"/>
  <c r="L63" i="3"/>
  <c r="L11" i="4"/>
  <c r="L112" i="3"/>
  <c r="L61" i="3"/>
  <c r="J122" i="4"/>
  <c r="L113" i="8" s="1"/>
  <c r="J121" i="4"/>
  <c r="L103" i="8"/>
  <c r="K118" i="4"/>
  <c r="K117" i="4"/>
  <c r="L287" i="3"/>
  <c r="K112" i="8"/>
  <c r="P112" i="8" s="1"/>
  <c r="I123" i="4"/>
  <c r="K114" i="8" s="1"/>
  <c r="P114" i="8" s="1"/>
  <c r="P7" i="8" s="1"/>
  <c r="H189" i="4"/>
  <c r="H174" i="4"/>
  <c r="H132" i="4"/>
  <c r="J139" i="8" s="1"/>
  <c r="Q139" i="8" s="1"/>
  <c r="H160" i="4"/>
  <c r="H188" i="4"/>
  <c r="H113" i="4"/>
  <c r="J138" i="8" s="1"/>
  <c r="Q138" i="8" s="1"/>
  <c r="H173" i="4"/>
  <c r="J137" i="8"/>
  <c r="Q137" i="8" s="1"/>
  <c r="H82" i="4"/>
  <c r="J110" i="8" s="1"/>
  <c r="Q110" i="8" s="1"/>
  <c r="H163" i="4" l="1"/>
  <c r="H162" i="4"/>
  <c r="G163" i="4"/>
  <c r="G162" i="4"/>
  <c r="F99" i="4"/>
  <c r="G99" i="4"/>
  <c r="M162" i="3"/>
  <c r="M355" i="3" s="1"/>
  <c r="M157" i="3" s="1"/>
  <c r="M112" i="3"/>
  <c r="M313" i="3"/>
  <c r="M37" i="4" s="1"/>
  <c r="O122" i="8" s="1"/>
  <c r="K114" i="3"/>
  <c r="L111" i="3" s="1"/>
  <c r="L113" i="3" s="1"/>
  <c r="D7" i="8"/>
  <c r="C83" i="8"/>
  <c r="K105" i="8"/>
  <c r="P105" i="8" s="1"/>
  <c r="O111" i="8"/>
  <c r="L343" i="3"/>
  <c r="L49" i="4" s="1"/>
  <c r="J89" i="3"/>
  <c r="J102" i="3" s="1"/>
  <c r="J104" i="3" s="1"/>
  <c r="K122" i="4"/>
  <c r="M113" i="8" s="1"/>
  <c r="K121" i="4"/>
  <c r="M80" i="8"/>
  <c r="L80" i="8" s="1"/>
  <c r="O80" i="8"/>
  <c r="P80" i="8" s="1"/>
  <c r="J123" i="4"/>
  <c r="L114" i="8" s="1"/>
  <c r="H99" i="4"/>
  <c r="K120" i="4"/>
  <c r="M112" i="8" s="1"/>
  <c r="K119" i="4"/>
  <c r="L64" i="3"/>
  <c r="L366" i="3"/>
  <c r="L58" i="4" s="1"/>
  <c r="J133" i="8"/>
  <c r="Q133" i="8" s="1"/>
  <c r="L367" i="3"/>
  <c r="L65" i="3"/>
  <c r="L66" i="3"/>
  <c r="L294" i="3" s="1"/>
  <c r="N120" i="8" s="1"/>
  <c r="L83" i="4"/>
  <c r="E80" i="8"/>
  <c r="D80" i="8" s="1"/>
  <c r="G80" i="8"/>
  <c r="H80" i="8" s="1"/>
  <c r="G191" i="4"/>
  <c r="L202" i="3"/>
  <c r="L37" i="4"/>
  <c r="N122" i="8" s="1"/>
  <c r="B8" i="8"/>
  <c r="O147" i="8"/>
  <c r="O136" i="8"/>
  <c r="O118" i="8"/>
  <c r="O142" i="8"/>
  <c r="M63" i="3"/>
  <c r="M117" i="4"/>
  <c r="M61" i="3"/>
  <c r="I133" i="8"/>
  <c r="M83" i="4"/>
  <c r="I91" i="4"/>
  <c r="N118" i="8"/>
  <c r="G176" i="4"/>
  <c r="D8" i="8"/>
  <c r="K93" i="3"/>
  <c r="J352" i="3"/>
  <c r="P8" i="8"/>
  <c r="L118" i="4"/>
  <c r="L117" i="4"/>
  <c r="J181" i="3"/>
  <c r="I186" i="3"/>
  <c r="I364" i="3" s="1"/>
  <c r="H175" i="4"/>
  <c r="H176" i="4" s="1"/>
  <c r="J13" i="4"/>
  <c r="J84" i="4"/>
  <c r="J16" i="4"/>
  <c r="L119" i="8"/>
  <c r="J292" i="3"/>
  <c r="J296" i="3" s="1"/>
  <c r="H190" i="4"/>
  <c r="H191" i="4" s="1"/>
  <c r="K82" i="8"/>
  <c r="K81" i="8" s="1"/>
  <c r="K84" i="8"/>
  <c r="K85" i="8" s="1"/>
  <c r="K86" i="8" s="1"/>
  <c r="M111" i="8"/>
  <c r="M57" i="3"/>
  <c r="M54" i="3"/>
  <c r="M343" i="3" s="1"/>
  <c r="M49" i="4" s="1"/>
  <c r="M120" i="4" s="1"/>
  <c r="O112" i="8" s="1"/>
  <c r="M55" i="3"/>
  <c r="O131" i="8"/>
  <c r="O100" i="8"/>
  <c r="M202" i="3" l="1"/>
  <c r="L133" i="3"/>
  <c r="L114" i="3"/>
  <c r="M111" i="3" s="1"/>
  <c r="M119" i="4"/>
  <c r="I187" i="3"/>
  <c r="I375" i="3" s="1"/>
  <c r="J182" i="3"/>
  <c r="J322" i="3" s="1"/>
  <c r="J191" i="3"/>
  <c r="M64" i="3"/>
  <c r="M366" i="3"/>
  <c r="M58" i="4" s="1"/>
  <c r="L120" i="4"/>
  <c r="N112" i="8" s="1"/>
  <c r="L119" i="4"/>
  <c r="K123" i="4"/>
  <c r="M114" i="8" s="1"/>
  <c r="M62" i="3"/>
  <c r="M66" i="3" s="1"/>
  <c r="M294" i="3" s="1"/>
  <c r="O120" i="8" s="1"/>
  <c r="K100" i="3"/>
  <c r="J354" i="3"/>
  <c r="J360" i="3" s="1"/>
  <c r="O103" i="8"/>
  <c r="L144" i="8"/>
  <c r="J89" i="4"/>
  <c r="M367" i="3"/>
  <c r="M65" i="3"/>
  <c r="L134" i="8"/>
  <c r="L143" i="8"/>
  <c r="J14" i="4"/>
  <c r="L122" i="4"/>
  <c r="N113" i="8" s="1"/>
  <c r="L121" i="4"/>
  <c r="M113" i="3"/>
  <c r="M133" i="3" s="1"/>
  <c r="N111" i="8"/>
  <c r="C84" i="8"/>
  <c r="C85" i="8" s="1"/>
  <c r="C86" i="8" s="1"/>
  <c r="C82" i="8"/>
  <c r="C81" i="8" s="1"/>
  <c r="J84" i="3"/>
  <c r="J53" i="4"/>
  <c r="N103" i="8"/>
  <c r="J183" i="3" l="1"/>
  <c r="J17" i="4"/>
  <c r="J157" i="4"/>
  <c r="L132" i="8" s="1"/>
  <c r="J86" i="4"/>
  <c r="L102" i="8"/>
  <c r="M122" i="4"/>
  <c r="M121" i="4"/>
  <c r="M114" i="3"/>
  <c r="I62" i="4"/>
  <c r="L123" i="4"/>
  <c r="N114" i="8" s="1"/>
  <c r="J186" i="3"/>
  <c r="J364" i="3" s="1"/>
  <c r="J187" i="3"/>
  <c r="J375" i="3" s="1"/>
  <c r="K181" i="3"/>
  <c r="J114" i="4"/>
  <c r="J85" i="3"/>
  <c r="K87" i="3" s="1"/>
  <c r="J54" i="4"/>
  <c r="J55" i="4" s="1"/>
  <c r="K132" i="3" l="1"/>
  <c r="K288" i="3"/>
  <c r="K88" i="3"/>
  <c r="K95" i="3" s="1"/>
  <c r="K97" i="3" s="1"/>
  <c r="K182" i="3"/>
  <c r="K322" i="3" s="1"/>
  <c r="K191" i="3"/>
  <c r="J62" i="4"/>
  <c r="O113" i="8"/>
  <c r="M123" i="4"/>
  <c r="O114" i="8" s="1"/>
  <c r="L104" i="8"/>
  <c r="J87" i="4"/>
  <c r="J158" i="4"/>
  <c r="J161" i="4" s="1"/>
  <c r="J90" i="4"/>
  <c r="J91" i="4" s="1"/>
  <c r="J187" i="4"/>
  <c r="K183" i="3" l="1"/>
  <c r="K186" i="3"/>
  <c r="K364" i="3" s="1"/>
  <c r="K187" i="3"/>
  <c r="K375" i="3" s="1"/>
  <c r="L181" i="3"/>
  <c r="K352" i="3"/>
  <c r="L93" i="3"/>
  <c r="K84" i="4"/>
  <c r="K13" i="4"/>
  <c r="K16" i="4"/>
  <c r="M119" i="8"/>
  <c r="K292" i="3"/>
  <c r="K296" i="3" s="1"/>
  <c r="K89" i="3"/>
  <c r="K102" i="3" s="1"/>
  <c r="K104" i="3" s="1"/>
  <c r="L105" i="8"/>
  <c r="L182" i="3" l="1"/>
  <c r="L322" i="3" s="1"/>
  <c r="L191" i="3"/>
  <c r="M134" i="8"/>
  <c r="M143" i="8"/>
  <c r="K14" i="4"/>
  <c r="M144" i="8"/>
  <c r="K89" i="4"/>
  <c r="L100" i="3"/>
  <c r="K354" i="3"/>
  <c r="K84" i="3"/>
  <c r="K53" i="4"/>
  <c r="K360" i="3"/>
  <c r="K62" i="4"/>
  <c r="L183" i="3" l="1"/>
  <c r="K114" i="4"/>
  <c r="K157" i="4"/>
  <c r="M132" i="8" s="1"/>
  <c r="M102" i="8"/>
  <c r="K17" i="4"/>
  <c r="K86" i="4"/>
  <c r="M181" i="3"/>
  <c r="L186" i="3"/>
  <c r="L364" i="3" s="1"/>
  <c r="K85" i="3"/>
  <c r="L87" i="3" s="1"/>
  <c r="K54" i="4"/>
  <c r="K55" i="4" s="1"/>
  <c r="L187" i="3" l="1"/>
  <c r="L375" i="3" s="1"/>
  <c r="M182" i="3"/>
  <c r="M322" i="3" s="1"/>
  <c r="M191" i="3"/>
  <c r="L62" i="4"/>
  <c r="M104" i="8"/>
  <c r="K87" i="4"/>
  <c r="K187" i="4"/>
  <c r="K158" i="4"/>
  <c r="K161" i="4" s="1"/>
  <c r="K90" i="4"/>
  <c r="L288" i="3"/>
  <c r="L132" i="3"/>
  <c r="L88" i="3"/>
  <c r="L95" i="3" s="1"/>
  <c r="L97" i="3" s="1"/>
  <c r="M105" i="8" l="1"/>
  <c r="K91" i="4"/>
  <c r="L352" i="3"/>
  <c r="M93" i="3"/>
  <c r="L89" i="3"/>
  <c r="L102" i="3" s="1"/>
  <c r="L104" i="3" s="1"/>
  <c r="L84" i="4"/>
  <c r="L13" i="4"/>
  <c r="L16" i="4"/>
  <c r="N119" i="8"/>
  <c r="L292" i="3"/>
  <c r="L296" i="3" s="1"/>
  <c r="M183" i="3"/>
  <c r="L89" i="4" l="1"/>
  <c r="N144" i="8"/>
  <c r="N134" i="8"/>
  <c r="N143" i="8"/>
  <c r="L14" i="4"/>
  <c r="M100" i="3"/>
  <c r="L354" i="3"/>
  <c r="L360" i="3" s="1"/>
  <c r="L53" i="4"/>
  <c r="L84" i="3"/>
  <c r="M186" i="3"/>
  <c r="M364" i="3" s="1"/>
  <c r="M187" i="3" l="1"/>
  <c r="M375" i="3" s="1"/>
  <c r="L114" i="4"/>
  <c r="L85" i="3"/>
  <c r="M87" i="3" s="1"/>
  <c r="L54" i="4"/>
  <c r="L55" i="4" s="1"/>
  <c r="L86" i="4"/>
  <c r="L157" i="4"/>
  <c r="N132" i="8" s="1"/>
  <c r="N102" i="8"/>
  <c r="L17" i="4"/>
  <c r="M132" i="3" l="1"/>
  <c r="M288" i="3"/>
  <c r="M88" i="3"/>
  <c r="M95" i="3" s="1"/>
  <c r="M97" i="3" s="1"/>
  <c r="M352" i="3" s="1"/>
  <c r="N104" i="8"/>
  <c r="L87" i="4"/>
  <c r="M62" i="4"/>
  <c r="L187" i="4"/>
  <c r="L90" i="4"/>
  <c r="L158" i="4"/>
  <c r="L161" i="4" s="1"/>
  <c r="N105" i="8" l="1"/>
  <c r="M53" i="4"/>
  <c r="M84" i="3"/>
  <c r="M84" i="4"/>
  <c r="M16" i="4"/>
  <c r="O119" i="8"/>
  <c r="M13" i="4"/>
  <c r="M292" i="3"/>
  <c r="M296" i="3" s="1"/>
  <c r="L91" i="4"/>
  <c r="M89" i="3"/>
  <c r="M102" i="3" s="1"/>
  <c r="M104" i="3" s="1"/>
  <c r="M354" i="3" s="1"/>
  <c r="M85" i="3" l="1"/>
  <c r="M54" i="4"/>
  <c r="O143" i="8"/>
  <c r="O134" i="8"/>
  <c r="M14" i="4"/>
  <c r="M89" i="4"/>
  <c r="O144" i="8"/>
  <c r="M55" i="4"/>
  <c r="M114" i="4"/>
  <c r="M360" i="3"/>
  <c r="M86" i="4" l="1"/>
  <c r="O102" i="8"/>
  <c r="M157" i="4"/>
  <c r="O132" i="8" s="1"/>
  <c r="M17" i="4"/>
  <c r="M187" i="4" l="1"/>
  <c r="M158" i="4"/>
  <c r="M161" i="4" s="1"/>
  <c r="M90" i="4"/>
  <c r="O104" i="8"/>
  <c r="M87" i="4"/>
  <c r="O105" i="8" l="1"/>
  <c r="M91" i="4"/>
  <c r="I176" i="3"/>
  <c r="I214" i="3"/>
  <c r="I219" i="3" s="1"/>
  <c r="I270" i="3" s="1"/>
  <c r="I298" i="3" s="1"/>
  <c r="K156" i="8" l="1"/>
  <c r="P156" i="8" s="1"/>
  <c r="I147" i="4"/>
  <c r="K128" i="8" s="1"/>
  <c r="P128" i="8" s="1"/>
  <c r="I269" i="3"/>
  <c r="I220" i="3"/>
  <c r="I221" i="3" s="1"/>
  <c r="I19" i="4" l="1"/>
  <c r="I271" i="3"/>
  <c r="I299" i="3"/>
  <c r="I124" i="3" l="1"/>
  <c r="I131" i="3" s="1"/>
  <c r="I134" i="3" s="1"/>
  <c r="I273" i="3"/>
  <c r="I275" i="3" s="1"/>
  <c r="K145" i="8"/>
  <c r="P145" i="8" s="1"/>
  <c r="I20" i="4"/>
  <c r="K135" i="8"/>
  <c r="P135" i="8" s="1"/>
  <c r="I93" i="4"/>
  <c r="I186" i="4" l="1"/>
  <c r="I104" i="4"/>
  <c r="I94" i="4"/>
  <c r="I277" i="3"/>
  <c r="K157" i="8"/>
  <c r="P157" i="8" s="1"/>
  <c r="I22" i="4"/>
  <c r="I137" i="3"/>
  <c r="I125" i="3"/>
  <c r="I143" i="3"/>
  <c r="K146" i="8" l="1"/>
  <c r="P146" i="8" s="1"/>
  <c r="I97" i="4"/>
  <c r="I101" i="4"/>
  <c r="I144" i="3"/>
  <c r="I138" i="3" s="1"/>
  <c r="I139" i="3" s="1"/>
  <c r="I300" i="3" s="1"/>
  <c r="I26" i="4"/>
  <c r="I240" i="3"/>
  <c r="I317" i="3" s="1"/>
  <c r="I238" i="3"/>
  <c r="I24" i="4"/>
  <c r="I278" i="3"/>
  <c r="I95" i="4"/>
  <c r="I241" i="3" l="1"/>
  <c r="I391" i="3" s="1"/>
  <c r="I68" i="4" s="1"/>
  <c r="I379" i="3"/>
  <c r="K121" i="8"/>
  <c r="I302" i="3"/>
  <c r="J237" i="3"/>
  <c r="I159" i="4"/>
  <c r="K107" i="8"/>
  <c r="P107" i="8" s="1"/>
  <c r="I172" i="4"/>
  <c r="I102" i="4"/>
  <c r="I98" i="4"/>
  <c r="I185" i="4"/>
  <c r="K148" i="8"/>
  <c r="P148" i="8" s="1"/>
  <c r="I81" i="4"/>
  <c r="I231" i="3"/>
  <c r="I27" i="4"/>
  <c r="I232" i="3"/>
  <c r="I316" i="3" s="1"/>
  <c r="K137" i="8"/>
  <c r="P137" i="8" s="1"/>
  <c r="I145" i="3"/>
  <c r="J142" i="3" s="1"/>
  <c r="I163" i="4" l="1"/>
  <c r="I162" i="4"/>
  <c r="I233" i="3"/>
  <c r="I389" i="3"/>
  <c r="I390" i="3" s="1"/>
  <c r="J230" i="3"/>
  <c r="F7" i="8"/>
  <c r="F8" i="8"/>
  <c r="P121" i="8"/>
  <c r="K106" i="8"/>
  <c r="P106" i="8" s="1"/>
  <c r="I99" i="4"/>
  <c r="K133" i="8"/>
  <c r="P133" i="8" s="1"/>
  <c r="I201" i="3"/>
  <c r="I36" i="4"/>
  <c r="I203" i="3"/>
  <c r="I63" i="4"/>
  <c r="I64" i="4" s="1"/>
  <c r="I381" i="3"/>
  <c r="I67" i="4" l="1"/>
  <c r="I69" i="4" s="1"/>
  <c r="I392" i="3"/>
  <c r="K126" i="8"/>
  <c r="P126" i="8" s="1"/>
  <c r="K116" i="8"/>
  <c r="P116" i="8" s="1"/>
  <c r="I205" i="3"/>
  <c r="I210" i="3" s="1"/>
  <c r="I211" i="3" l="1"/>
  <c r="I323" i="3"/>
  <c r="I324" i="3" s="1"/>
  <c r="H7" i="8"/>
  <c r="H8" i="8"/>
  <c r="C80" i="8"/>
  <c r="I79" i="4"/>
  <c r="K108" i="8" s="1"/>
  <c r="P108" i="8" s="1"/>
  <c r="J7" i="8" l="1"/>
  <c r="J8" i="8"/>
  <c r="D81" i="8"/>
  <c r="F84" i="8"/>
  <c r="H81" i="8"/>
  <c r="E81" i="8"/>
  <c r="G84" i="8"/>
  <c r="D83" i="8"/>
  <c r="F81" i="8"/>
  <c r="H84" i="8"/>
  <c r="D86" i="8"/>
  <c r="G81" i="8"/>
  <c r="E86" i="8"/>
  <c r="F86" i="8"/>
  <c r="E83" i="8"/>
  <c r="G86" i="8"/>
  <c r="F83" i="8"/>
  <c r="H86" i="8"/>
  <c r="H83" i="8"/>
  <c r="D85" i="8"/>
  <c r="H82" i="8"/>
  <c r="G83" i="8"/>
  <c r="E84" i="8"/>
  <c r="E85" i="8"/>
  <c r="G82" i="8"/>
  <c r="G85" i="8"/>
  <c r="E82" i="8"/>
  <c r="D84" i="8"/>
  <c r="H85" i="8"/>
  <c r="D82" i="8"/>
  <c r="F82" i="8"/>
  <c r="F85" i="8"/>
  <c r="I38" i="4"/>
  <c r="K123" i="8" s="1"/>
  <c r="I327" i="3"/>
  <c r="I330" i="3" s="1"/>
  <c r="I332" i="3" s="1"/>
  <c r="J209" i="3"/>
  <c r="I371" i="3"/>
  <c r="I134" i="4" l="1"/>
  <c r="I372" i="3"/>
  <c r="I382" i="3" s="1"/>
  <c r="I393" i="3" s="1"/>
  <c r="I59" i="4"/>
  <c r="I60" i="4" s="1"/>
  <c r="I65" i="4" s="1"/>
  <c r="I135" i="4"/>
  <c r="I103" i="4"/>
  <c r="J214" i="3"/>
  <c r="J219" i="3" s="1"/>
  <c r="I341" i="3"/>
  <c r="J329" i="3"/>
  <c r="P123" i="8"/>
  <c r="K124" i="8"/>
  <c r="P124" i="8" s="1"/>
  <c r="K80" i="8" s="1"/>
  <c r="I173" i="3" l="1"/>
  <c r="I172" i="3" s="1"/>
  <c r="I349" i="3"/>
  <c r="I361" i="3" s="1"/>
  <c r="J171" i="3"/>
  <c r="J176" i="3" s="1"/>
  <c r="I47" i="4"/>
  <c r="M82" i="8"/>
  <c r="O85" i="8"/>
  <c r="N82" i="8"/>
  <c r="P85" i="8"/>
  <c r="O82" i="8"/>
  <c r="M84" i="8"/>
  <c r="P82" i="8"/>
  <c r="L84" i="8"/>
  <c r="L81" i="8"/>
  <c r="N84" i="8"/>
  <c r="M81" i="8"/>
  <c r="O84" i="8"/>
  <c r="O81" i="8"/>
  <c r="M86" i="8"/>
  <c r="M85" i="8"/>
  <c r="N83" i="8"/>
  <c r="O83" i="8"/>
  <c r="L82" i="8"/>
  <c r="N85" i="8"/>
  <c r="P86" i="8"/>
  <c r="L86" i="8"/>
  <c r="P83" i="8"/>
  <c r="L83" i="8"/>
  <c r="N86" i="8"/>
  <c r="M83" i="8"/>
  <c r="O86" i="8"/>
  <c r="N81" i="8"/>
  <c r="P84" i="8"/>
  <c r="P81" i="8"/>
  <c r="L85" i="8"/>
  <c r="L117" i="8"/>
  <c r="J200" i="3"/>
  <c r="I133" i="4"/>
  <c r="I70" i="4"/>
  <c r="J270" i="3"/>
  <c r="I395" i="3"/>
  <c r="J32" i="3"/>
  <c r="I116" i="4" l="1"/>
  <c r="I115" i="4"/>
  <c r="I51" i="4"/>
  <c r="I136" i="4"/>
  <c r="K127" i="8" s="1"/>
  <c r="P127" i="8" s="1"/>
  <c r="I82" i="4"/>
  <c r="K110" i="8" s="1"/>
  <c r="P110" i="8" s="1"/>
  <c r="L156" i="8"/>
  <c r="J147" i="4"/>
  <c r="L128" i="8" s="1"/>
  <c r="J298" i="3"/>
  <c r="J319" i="3"/>
  <c r="J246" i="3"/>
  <c r="J247" i="3" s="1"/>
  <c r="J269" i="3"/>
  <c r="J220" i="3"/>
  <c r="J221" i="3" s="1"/>
  <c r="J19" i="4" l="1"/>
  <c r="J271" i="3"/>
  <c r="J299" i="3"/>
  <c r="L7" i="8"/>
  <c r="L8" i="8"/>
  <c r="K245" i="3"/>
  <c r="J386" i="3"/>
  <c r="N7" i="8"/>
  <c r="N8" i="8"/>
  <c r="I56" i="4"/>
  <c r="I145" i="4"/>
  <c r="K129" i="8" s="1"/>
  <c r="P129" i="8" s="1"/>
  <c r="I146" i="4"/>
  <c r="K130" i="8" s="1"/>
  <c r="P130" i="8" s="1"/>
  <c r="I160" i="4" l="1"/>
  <c r="I188" i="4"/>
  <c r="I132" i="4"/>
  <c r="K139" i="8" s="1"/>
  <c r="P139" i="8" s="1"/>
  <c r="I174" i="4"/>
  <c r="I189" i="4"/>
  <c r="I113" i="4"/>
  <c r="K138" i="8" s="1"/>
  <c r="P138" i="8" s="1"/>
  <c r="I173" i="4"/>
  <c r="I175" i="4" s="1"/>
  <c r="I176" i="4" s="1"/>
  <c r="I80" i="4"/>
  <c r="K109" i="8" s="1"/>
  <c r="P109" i="8" s="1"/>
  <c r="J273" i="3"/>
  <c r="J124" i="3"/>
  <c r="J131" i="3" s="1"/>
  <c r="J134" i="3" s="1"/>
  <c r="J275" i="3"/>
  <c r="L145" i="8"/>
  <c r="J20" i="4"/>
  <c r="J93" i="4"/>
  <c r="L135" i="8"/>
  <c r="J277" i="3" l="1"/>
  <c r="J186" i="4"/>
  <c r="J94" i="4"/>
  <c r="J104" i="4"/>
  <c r="L157" i="8"/>
  <c r="J22" i="4"/>
  <c r="J143" i="3"/>
  <c r="J137" i="3"/>
  <c r="J125" i="3"/>
  <c r="I190" i="4"/>
  <c r="I191" i="4" s="1"/>
  <c r="J95" i="4"/>
  <c r="J144" i="3" l="1"/>
  <c r="J138" i="3" s="1"/>
  <c r="J139" i="3" s="1"/>
  <c r="J300" i="3" s="1"/>
  <c r="J97" i="4"/>
  <c r="L146" i="8"/>
  <c r="J101" i="4"/>
  <c r="J145" i="3"/>
  <c r="K142" i="3" s="1"/>
  <c r="J24" i="4"/>
  <c r="J240" i="3"/>
  <c r="J317" i="3" s="1"/>
  <c r="J26" i="4"/>
  <c r="J238" i="3"/>
  <c r="J278" i="3"/>
  <c r="J241" i="3" l="1"/>
  <c r="J391" i="3" s="1"/>
  <c r="J68" i="4" s="1"/>
  <c r="J379" i="3"/>
  <c r="L121" i="8"/>
  <c r="J302" i="3"/>
  <c r="J159" i="4"/>
  <c r="L107" i="8"/>
  <c r="J102" i="4"/>
  <c r="J81" i="4"/>
  <c r="J172" i="4"/>
  <c r="J185" i="4"/>
  <c r="J98" i="4"/>
  <c r="L148" i="8"/>
  <c r="J231" i="3"/>
  <c r="J27" i="4"/>
  <c r="J232" i="3"/>
  <c r="J316" i="3" s="1"/>
  <c r="L137" i="8"/>
  <c r="K237" i="3" l="1"/>
  <c r="J163" i="4"/>
  <c r="J162" i="4"/>
  <c r="J233" i="3"/>
  <c r="K230" i="3" s="1"/>
  <c r="J389" i="3"/>
  <c r="J390" i="3" s="1"/>
  <c r="J203" i="3"/>
  <c r="L106" i="8"/>
  <c r="J99" i="4"/>
  <c r="L133" i="8"/>
  <c r="J201" i="3"/>
  <c r="J205" i="3" s="1"/>
  <c r="J210" i="3" s="1"/>
  <c r="J36" i="4"/>
  <c r="J63" i="4"/>
  <c r="J64" i="4" s="1"/>
  <c r="J381" i="3"/>
  <c r="L126" i="8" l="1"/>
  <c r="L116" i="8"/>
  <c r="J323" i="3"/>
  <c r="J324" i="3" s="1"/>
  <c r="J211" i="3"/>
  <c r="J67" i="4"/>
  <c r="J69" i="4" s="1"/>
  <c r="J392" i="3"/>
  <c r="J79" i="4" l="1"/>
  <c r="L108" i="8" s="1"/>
  <c r="K209" i="3"/>
  <c r="J371" i="3"/>
  <c r="J38" i="4"/>
  <c r="L123" i="8" s="1"/>
  <c r="L124" i="8" s="1"/>
  <c r="J327" i="3"/>
  <c r="J330" i="3" s="1"/>
  <c r="J332" i="3" s="1"/>
  <c r="J341" i="3" l="1"/>
  <c r="K329" i="3"/>
  <c r="K214" i="3"/>
  <c r="K219" i="3" s="1"/>
  <c r="K32" i="3"/>
  <c r="J134" i="4"/>
  <c r="J372" i="3"/>
  <c r="J382" i="3" s="1"/>
  <c r="J393" i="3" s="1"/>
  <c r="J59" i="4"/>
  <c r="J60" i="4" s="1"/>
  <c r="J65" i="4" s="1"/>
  <c r="J135" i="4"/>
  <c r="J103" i="4"/>
  <c r="K319" i="3" l="1"/>
  <c r="K246" i="3"/>
  <c r="K247" i="3" s="1"/>
  <c r="J133" i="4"/>
  <c r="J70" i="4"/>
  <c r="K270" i="3"/>
  <c r="M117" i="8"/>
  <c r="K200" i="3"/>
  <c r="J173" i="3"/>
  <c r="J172" i="3" s="1"/>
  <c r="J47" i="4"/>
  <c r="K171" i="3"/>
  <c r="K176" i="3" s="1"/>
  <c r="J349" i="3"/>
  <c r="J361" i="3" s="1"/>
  <c r="J395" i="3" s="1"/>
  <c r="K269" i="3" l="1"/>
  <c r="K220" i="3"/>
  <c r="K221" i="3" s="1"/>
  <c r="M156" i="8"/>
  <c r="K147" i="4"/>
  <c r="M128" i="8" s="1"/>
  <c r="K298" i="3"/>
  <c r="J115" i="4"/>
  <c r="J116" i="4"/>
  <c r="J51" i="4"/>
  <c r="J136" i="4"/>
  <c r="L127" i="8" s="1"/>
  <c r="J82" i="4"/>
  <c r="L110" i="8" s="1"/>
  <c r="L245" i="3"/>
  <c r="K386" i="3"/>
  <c r="J56" i="4" l="1"/>
  <c r="J145" i="4"/>
  <c r="L129" i="8" s="1"/>
  <c r="J146" i="4"/>
  <c r="L130" i="8" s="1"/>
  <c r="K271" i="3"/>
  <c r="K19" i="4"/>
  <c r="K299" i="3"/>
  <c r="M145" i="8" l="1"/>
  <c r="K20" i="4"/>
  <c r="M135" i="8"/>
  <c r="K93" i="4"/>
  <c r="K273" i="3"/>
  <c r="K124" i="3"/>
  <c r="K131" i="3" s="1"/>
  <c r="K134" i="3" s="1"/>
  <c r="K275" i="3"/>
  <c r="J174" i="4"/>
  <c r="J188" i="4"/>
  <c r="J160" i="4"/>
  <c r="J132" i="4"/>
  <c r="L139" i="8" s="1"/>
  <c r="J189" i="4"/>
  <c r="J113" i="4"/>
  <c r="L138" i="8" s="1"/>
  <c r="J173" i="4"/>
  <c r="J175" i="4" s="1"/>
  <c r="J176" i="4" s="1"/>
  <c r="J80" i="4"/>
  <c r="L109" i="8" s="1"/>
  <c r="K277" i="3" l="1"/>
  <c r="M157" i="8"/>
  <c r="K22" i="4"/>
  <c r="J190" i="4"/>
  <c r="J191" i="4" s="1"/>
  <c r="K143" i="3"/>
  <c r="K137" i="3"/>
  <c r="K125" i="3"/>
  <c r="K24" i="4"/>
  <c r="K186" i="4"/>
  <c r="K94" i="4"/>
  <c r="K104" i="4"/>
  <c r="M148" i="8" l="1"/>
  <c r="K81" i="4"/>
  <c r="K185" i="4"/>
  <c r="K159" i="4"/>
  <c r="M107" i="8"/>
  <c r="K102" i="4"/>
  <c r="K172" i="4"/>
  <c r="K98" i="4"/>
  <c r="M106" i="8" s="1"/>
  <c r="K95" i="4"/>
  <c r="K144" i="3"/>
  <c r="K138" i="3" s="1"/>
  <c r="K139" i="3" s="1"/>
  <c r="K300" i="3" s="1"/>
  <c r="K101" i="4"/>
  <c r="M146" i="8"/>
  <c r="K97" i="4"/>
  <c r="K99" i="4" s="1"/>
  <c r="K240" i="3"/>
  <c r="K317" i="3" s="1"/>
  <c r="K26" i="4"/>
  <c r="K238" i="3"/>
  <c r="K278" i="3"/>
  <c r="K163" i="4" l="1"/>
  <c r="K162" i="4"/>
  <c r="K241" i="3"/>
  <c r="K379" i="3"/>
  <c r="K302" i="3"/>
  <c r="M121" i="8"/>
  <c r="L237" i="3"/>
  <c r="K391" i="3"/>
  <c r="K68" i="4" s="1"/>
  <c r="M137" i="8"/>
  <c r="K145" i="3"/>
  <c r="L142" i="3" s="1"/>
  <c r="K231" i="3"/>
  <c r="K27" i="4"/>
  <c r="K232" i="3"/>
  <c r="K316" i="3" s="1"/>
  <c r="M133" i="8"/>
  <c r="K203" i="3" l="1"/>
  <c r="K233" i="3"/>
  <c r="K36" i="4"/>
  <c r="K201" i="3"/>
  <c r="K205" i="3" s="1"/>
  <c r="K210" i="3" s="1"/>
  <c r="K63" i="4"/>
  <c r="K64" i="4" s="1"/>
  <c r="K381" i="3"/>
  <c r="K323" i="3" l="1"/>
  <c r="K324" i="3" s="1"/>
  <c r="K211" i="3"/>
  <c r="M116" i="8"/>
  <c r="M126" i="8"/>
  <c r="K389" i="3"/>
  <c r="K390" i="3" s="1"/>
  <c r="L230" i="3"/>
  <c r="K67" i="4" l="1"/>
  <c r="K69" i="4" s="1"/>
  <c r="K392" i="3"/>
  <c r="L209" i="3"/>
  <c r="K371" i="3"/>
  <c r="K38" i="4"/>
  <c r="M123" i="8" s="1"/>
  <c r="M124" i="8" s="1"/>
  <c r="K327" i="3"/>
  <c r="K330" i="3" s="1"/>
  <c r="K332" i="3" s="1"/>
  <c r="K341" i="3" l="1"/>
  <c r="L329" i="3"/>
  <c r="L32" i="3"/>
  <c r="K134" i="4"/>
  <c r="K135" i="4"/>
  <c r="K59" i="4"/>
  <c r="K60" i="4" s="1"/>
  <c r="K65" i="4" s="1"/>
  <c r="K133" i="4" s="1"/>
  <c r="K372" i="3"/>
  <c r="K382" i="3" s="1"/>
  <c r="K393" i="3" s="1"/>
  <c r="K103" i="4"/>
  <c r="L214" i="3"/>
  <c r="L219" i="3" s="1"/>
  <c r="K70" i="4"/>
  <c r="K79" i="4"/>
  <c r="M108" i="8" s="1"/>
  <c r="L270" i="3" l="1"/>
  <c r="L246" i="3"/>
  <c r="L247" i="3" s="1"/>
  <c r="L319" i="3"/>
  <c r="L200" i="3"/>
  <c r="N117" i="8"/>
  <c r="K173" i="3"/>
  <c r="K172" i="3" s="1"/>
  <c r="L171" i="3"/>
  <c r="L176" i="3" s="1"/>
  <c r="K349" i="3"/>
  <c r="K361" i="3" s="1"/>
  <c r="K395" i="3" s="1"/>
  <c r="K47" i="4"/>
  <c r="K115" i="4" l="1"/>
  <c r="K51" i="4"/>
  <c r="K116" i="4"/>
  <c r="K136" i="4"/>
  <c r="M127" i="8" s="1"/>
  <c r="K82" i="4"/>
  <c r="M110" i="8" s="1"/>
  <c r="L386" i="3"/>
  <c r="M245" i="3"/>
  <c r="L298" i="3"/>
  <c r="L147" i="4"/>
  <c r="N128" i="8" s="1"/>
  <c r="N156" i="8"/>
  <c r="L269" i="3"/>
  <c r="L220" i="3"/>
  <c r="L221" i="3" s="1"/>
  <c r="K145" i="4" l="1"/>
  <c r="M129" i="8" s="1"/>
  <c r="K56" i="4"/>
  <c r="K146" i="4"/>
  <c r="M130" i="8" s="1"/>
  <c r="L271" i="3"/>
  <c r="L19" i="4"/>
  <c r="L299" i="3"/>
  <c r="N145" i="8" l="1"/>
  <c r="L20" i="4"/>
  <c r="N135" i="8"/>
  <c r="L93" i="4"/>
  <c r="L273" i="3"/>
  <c r="L124" i="3"/>
  <c r="L131" i="3" s="1"/>
  <c r="L134" i="3" s="1"/>
  <c r="L275" i="3"/>
  <c r="K174" i="4"/>
  <c r="K173" i="4"/>
  <c r="K188" i="4"/>
  <c r="K160" i="4"/>
  <c r="K113" i="4"/>
  <c r="M138" i="8" s="1"/>
  <c r="K132" i="4"/>
  <c r="M139" i="8" s="1"/>
  <c r="K189" i="4"/>
  <c r="K80" i="4"/>
  <c r="M109" i="8" s="1"/>
  <c r="K175" i="4" l="1"/>
  <c r="K176" i="4" s="1"/>
  <c r="K190" i="4"/>
  <c r="K191" i="4" s="1"/>
  <c r="L277" i="3"/>
  <c r="L278" i="3" s="1"/>
  <c r="L143" i="3"/>
  <c r="L137" i="3"/>
  <c r="L125" i="3"/>
  <c r="N157" i="8"/>
  <c r="L22" i="4"/>
  <c r="L24" i="4" s="1"/>
  <c r="L94" i="4"/>
  <c r="L104" i="4"/>
  <c r="L186" i="4"/>
  <c r="N148" i="8" l="1"/>
  <c r="L81" i="4"/>
  <c r="L185" i="4"/>
  <c r="L159" i="4"/>
  <c r="N107" i="8"/>
  <c r="L102" i="4"/>
  <c r="L98" i="4"/>
  <c r="N106" i="8" s="1"/>
  <c r="L172" i="4"/>
  <c r="L95" i="4"/>
  <c r="L101" i="4"/>
  <c r="N146" i="8"/>
  <c r="L97" i="4"/>
  <c r="L99" i="4" s="1"/>
  <c r="L144" i="3"/>
  <c r="L138" i="3" s="1"/>
  <c r="L139" i="3" s="1"/>
  <c r="L300" i="3" s="1"/>
  <c r="L231" i="3"/>
  <c r="L27" i="4"/>
  <c r="L232" i="3"/>
  <c r="L316" i="3" s="1"/>
  <c r="L240" i="3"/>
  <c r="L317" i="3" s="1"/>
  <c r="L26" i="4"/>
  <c r="L238" i="3"/>
  <c r="L241" i="3" s="1"/>
  <c r="L163" i="4" l="1"/>
  <c r="L162" i="4"/>
  <c r="L145" i="3"/>
  <c r="M142" i="3" s="1"/>
  <c r="L379" i="3"/>
  <c r="N121" i="8"/>
  <c r="L302" i="3"/>
  <c r="L391" i="3"/>
  <c r="L68" i="4" s="1"/>
  <c r="M237" i="3"/>
  <c r="N133" i="8"/>
  <c r="N137" i="8"/>
  <c r="L233" i="3"/>
  <c r="L203" i="3"/>
  <c r="L389" i="3" l="1"/>
  <c r="L390" i="3" s="1"/>
  <c r="M230" i="3"/>
  <c r="L36" i="4"/>
  <c r="L201" i="3"/>
  <c r="L205" i="3" s="1"/>
  <c r="L210" i="3" s="1"/>
  <c r="L63" i="4"/>
  <c r="L64" i="4" s="1"/>
  <c r="L381" i="3"/>
  <c r="N116" i="8" l="1"/>
  <c r="N126" i="8"/>
  <c r="L323" i="3"/>
  <c r="L324" i="3" s="1"/>
  <c r="L211" i="3"/>
  <c r="L392" i="3"/>
  <c r="L67" i="4"/>
  <c r="L69" i="4" s="1"/>
  <c r="M209" i="3" l="1"/>
  <c r="L371" i="3"/>
  <c r="L79" i="4"/>
  <c r="N108" i="8" s="1"/>
  <c r="L38" i="4"/>
  <c r="N123" i="8" s="1"/>
  <c r="N124" i="8" s="1"/>
  <c r="L327" i="3"/>
  <c r="L330" i="3" s="1"/>
  <c r="L332" i="3" s="1"/>
  <c r="L341" i="3" l="1"/>
  <c r="M32" i="3" s="1"/>
  <c r="M329" i="3"/>
  <c r="L135" i="4"/>
  <c r="L372" i="3"/>
  <c r="L382" i="3" s="1"/>
  <c r="L393" i="3" s="1"/>
  <c r="L59" i="4"/>
  <c r="L60" i="4" s="1"/>
  <c r="L65" i="4" s="1"/>
  <c r="L134" i="4"/>
  <c r="L103" i="4"/>
  <c r="M214" i="3"/>
  <c r="M219" i="3" s="1"/>
  <c r="L133" i="4" l="1"/>
  <c r="L70" i="4"/>
  <c r="M270" i="3"/>
  <c r="M319" i="3"/>
  <c r="M246" i="3"/>
  <c r="M247" i="3" s="1"/>
  <c r="M386" i="3" s="1"/>
  <c r="M200" i="3"/>
  <c r="O117" i="8"/>
  <c r="M171" i="3"/>
  <c r="M176" i="3" s="1"/>
  <c r="L349" i="3"/>
  <c r="L361" i="3" s="1"/>
  <c r="L395" i="3" s="1"/>
  <c r="L173" i="3"/>
  <c r="L172" i="3" s="1"/>
  <c r="L47" i="4"/>
  <c r="L51" i="4" l="1"/>
  <c r="L115" i="4"/>
  <c r="L116" i="4"/>
  <c r="L82" i="4"/>
  <c r="N110" i="8" s="1"/>
  <c r="L136" i="4"/>
  <c r="N127" i="8" s="1"/>
  <c r="M269" i="3"/>
  <c r="M220" i="3"/>
  <c r="M221" i="3" s="1"/>
  <c r="M147" i="4"/>
  <c r="O128" i="8" s="1"/>
  <c r="O156" i="8"/>
  <c r="M298" i="3"/>
  <c r="M299" i="3" l="1"/>
  <c r="M271" i="3"/>
  <c r="M19" i="4"/>
  <c r="L56" i="4"/>
  <c r="L145" i="4"/>
  <c r="N129" i="8" s="1"/>
  <c r="L146" i="4"/>
  <c r="N130" i="8" s="1"/>
  <c r="L189" i="4" l="1"/>
  <c r="L174" i="4"/>
  <c r="L173" i="4"/>
  <c r="L160" i="4"/>
  <c r="L188" i="4"/>
  <c r="L190" i="4" s="1"/>
  <c r="L191" i="4" s="1"/>
  <c r="L113" i="4"/>
  <c r="N138" i="8" s="1"/>
  <c r="L132" i="4"/>
  <c r="N139" i="8" s="1"/>
  <c r="L80" i="4"/>
  <c r="N109" i="8" s="1"/>
  <c r="O145" i="8"/>
  <c r="M93" i="4"/>
  <c r="O135" i="8"/>
  <c r="M20" i="4"/>
  <c r="M273" i="3"/>
  <c r="M275" i="3" s="1"/>
  <c r="M124" i="3"/>
  <c r="M131" i="3" s="1"/>
  <c r="M134" i="3" s="1"/>
  <c r="L175" i="4" l="1"/>
  <c r="L176" i="4" s="1"/>
  <c r="M143" i="3"/>
  <c r="M137" i="3"/>
  <c r="M125" i="3"/>
  <c r="M94" i="4"/>
  <c r="M186" i="4"/>
  <c r="M104" i="4"/>
  <c r="M277" i="3"/>
  <c r="M278" i="3" s="1"/>
  <c r="O157" i="8"/>
  <c r="M22" i="4"/>
  <c r="M232" i="3" l="1"/>
  <c r="M316" i="3" s="1"/>
  <c r="M27" i="4"/>
  <c r="M231" i="3"/>
  <c r="M233" i="3" s="1"/>
  <c r="M389" i="3" s="1"/>
  <c r="M390" i="3" s="1"/>
  <c r="M101" i="4"/>
  <c r="M97" i="4"/>
  <c r="O146" i="8"/>
  <c r="M240" i="3"/>
  <c r="M317" i="3" s="1"/>
  <c r="M238" i="3"/>
  <c r="M26" i="4"/>
  <c r="M24" i="4"/>
  <c r="M144" i="3"/>
  <c r="M138" i="3" s="1"/>
  <c r="M139" i="3" s="1"/>
  <c r="M300" i="3" s="1"/>
  <c r="M95" i="4"/>
  <c r="M241" i="3" l="1"/>
  <c r="M391" i="3" s="1"/>
  <c r="M68" i="4" s="1"/>
  <c r="M379" i="3"/>
  <c r="M302" i="3"/>
  <c r="O121" i="8"/>
  <c r="M98" i="4"/>
  <c r="O148" i="8"/>
  <c r="M81" i="4"/>
  <c r="M185" i="4"/>
  <c r="M159" i="4"/>
  <c r="O107" i="8"/>
  <c r="M102" i="4"/>
  <c r="M172" i="4"/>
  <c r="M145" i="3"/>
  <c r="D128" i="3" s="1"/>
  <c r="L9" i="5" s="1"/>
  <c r="O137" i="8"/>
  <c r="M67" i="4"/>
  <c r="M69" i="4" s="1"/>
  <c r="M79" i="4" s="1"/>
  <c r="O108" i="8" s="1"/>
  <c r="M392" i="3"/>
  <c r="M203" i="3"/>
  <c r="M163" i="4" l="1"/>
  <c r="M162" i="4"/>
  <c r="O133" i="8"/>
  <c r="O106" i="8"/>
  <c r="M99" i="4"/>
  <c r="M36" i="4"/>
  <c r="M201" i="3"/>
  <c r="M205" i="3" s="1"/>
  <c r="M210" i="3" s="1"/>
  <c r="M63" i="4"/>
  <c r="M64" i="4" s="1"/>
  <c r="M381" i="3"/>
  <c r="M323" i="3" l="1"/>
  <c r="M324" i="3" s="1"/>
  <c r="M211" i="3"/>
  <c r="M371" i="3" s="1"/>
  <c r="O126" i="8"/>
  <c r="O116" i="8"/>
  <c r="M135" i="4" l="1"/>
  <c r="M372" i="3"/>
  <c r="M382" i="3" s="1"/>
  <c r="M393" i="3" s="1"/>
  <c r="M134" i="4"/>
  <c r="M59" i="4"/>
  <c r="M60" i="4" s="1"/>
  <c r="M65" i="4" s="1"/>
  <c r="M103" i="4"/>
  <c r="M38" i="4"/>
  <c r="O123" i="8" s="1"/>
  <c r="O124" i="8" s="1"/>
  <c r="M327" i="3"/>
  <c r="M330" i="3" s="1"/>
  <c r="M332" i="3" s="1"/>
  <c r="M341" i="3" s="1"/>
  <c r="M349" i="3" l="1"/>
  <c r="M361" i="3" s="1"/>
  <c r="M173" i="3"/>
  <c r="M172" i="3" s="1"/>
  <c r="M47" i="4"/>
  <c r="M133" i="4"/>
  <c r="M70" i="4"/>
  <c r="M395" i="3"/>
  <c r="L10" i="5" s="1"/>
  <c r="M51" i="4" l="1"/>
  <c r="M115" i="4"/>
  <c r="M116" i="4"/>
  <c r="M136" i="4"/>
  <c r="O127" i="8" s="1"/>
  <c r="M82" i="4"/>
  <c r="O110" i="8" s="1"/>
  <c r="M145" i="4" l="1"/>
  <c r="O129" i="8" s="1"/>
  <c r="M56" i="4"/>
  <c r="M146" i="4"/>
  <c r="O130" i="8" s="1"/>
  <c r="M189" i="4" l="1"/>
  <c r="M174" i="4"/>
  <c r="M113" i="4"/>
  <c r="O138" i="8" s="1"/>
  <c r="M173" i="4"/>
  <c r="M175" i="4" s="1"/>
  <c r="M176" i="4" s="1"/>
  <c r="M188" i="4"/>
  <c r="M160" i="4"/>
  <c r="M132" i="4"/>
  <c r="O139" i="8" s="1"/>
  <c r="M80" i="4"/>
  <c r="O109" i="8" s="1"/>
  <c r="M190" i="4" l="1"/>
  <c r="M191" i="4" s="1"/>
</calcChain>
</file>

<file path=xl/sharedStrings.xml><?xml version="1.0" encoding="utf-8"?>
<sst xmlns="http://schemas.openxmlformats.org/spreadsheetml/2006/main" count="754" uniqueCount="527">
  <si>
    <t xml:space="preserve">Model Running: </t>
  </si>
  <si>
    <t>Justification / basis of assumption</t>
  </si>
  <si>
    <t>Growth &amp; Margin Drivers</t>
  </si>
  <si>
    <t>Sales growth, % YoY</t>
  </si>
  <si>
    <t>Best Case</t>
  </si>
  <si>
    <t>Base Case</t>
  </si>
  <si>
    <t>Worst Case</t>
  </si>
  <si>
    <t>Other revenue, % of sales</t>
  </si>
  <si>
    <t>COGS</t>
  </si>
  <si>
    <t xml:space="preserve">Distribution expenses </t>
  </si>
  <si>
    <t xml:space="preserve">Marketing &amp; administration expenses </t>
  </si>
  <si>
    <t xml:space="preserve">Other trading income </t>
  </si>
  <si>
    <t xml:space="preserve">Other trading expenses </t>
  </si>
  <si>
    <t xml:space="preserve">Other operating income </t>
  </si>
  <si>
    <t xml:space="preserve">Other operating expenses </t>
  </si>
  <si>
    <t>Income from associates &amp; JV, growth % YoY</t>
  </si>
  <si>
    <t>Working Capital Drivers</t>
  </si>
  <si>
    <t>DSO</t>
  </si>
  <si>
    <t>(Days)</t>
  </si>
  <si>
    <t>DSI</t>
  </si>
  <si>
    <t>DPO</t>
  </si>
  <si>
    <t>Prepayments</t>
  </si>
  <si>
    <t>Accruals</t>
  </si>
  <si>
    <t>Capex, D&amp;A &amp; Fixed Asset Drivers</t>
  </si>
  <si>
    <t>Capex</t>
  </si>
  <si>
    <t>Capital expenditure</t>
  </si>
  <si>
    <t>% Sales</t>
  </si>
  <si>
    <t>Expenditure on intangible assets</t>
  </si>
  <si>
    <t>Combined D&amp;A</t>
  </si>
  <si>
    <t>% Opening</t>
  </si>
  <si>
    <t>D&amp;A allocated to PP&amp;E</t>
  </si>
  <si>
    <t>Equity &amp; Dividend Drivers</t>
  </si>
  <si>
    <t>Equity</t>
  </si>
  <si>
    <t>Dividend payout ratio</t>
  </si>
  <si>
    <t>% Net Profit</t>
  </si>
  <si>
    <t>Dividends to NCI</t>
  </si>
  <si>
    <t>% NCI Profit</t>
  </si>
  <si>
    <t>Treasury share purchases</t>
  </si>
  <si>
    <t>Dividends received from associates &amp; JV</t>
  </si>
  <si>
    <t>Other Inputs</t>
  </si>
  <si>
    <t>Other Annual Inputs</t>
  </si>
  <si>
    <t>Financial Debt</t>
  </si>
  <si>
    <t>Increase / (Decrease)</t>
  </si>
  <si>
    <t>Current Portion</t>
  </si>
  <si>
    <t>% Financial Debt</t>
  </si>
  <si>
    <t>Dates</t>
  </si>
  <si>
    <t>Taxes</t>
  </si>
  <si>
    <t>First Year of Forecast</t>
  </si>
  <si>
    <t>(YYYY)</t>
  </si>
  <si>
    <t>Tax Rate</t>
  </si>
  <si>
    <t>Days in Period</t>
  </si>
  <si>
    <t>First Year Tax Depreciation</t>
  </si>
  <si>
    <t>Blended Tax Depreciation Rate</t>
  </si>
  <si>
    <t>Tax Basis for Assets</t>
  </si>
  <si>
    <t>Tax Losses</t>
  </si>
  <si>
    <t>Other Single Inputs</t>
  </si>
  <si>
    <t>Interest Rates</t>
  </si>
  <si>
    <t>Cash &amp; ST Investment</t>
  </si>
  <si>
    <t>Non-controlling interests, % of profit</t>
  </si>
  <si>
    <t>R&amp;D Cost</t>
  </si>
  <si>
    <t>Revolving Credit Line</t>
  </si>
  <si>
    <t xml:space="preserve"> </t>
  </si>
  <si>
    <t>Sales growth</t>
  </si>
  <si>
    <t>Other revenue</t>
  </si>
  <si>
    <t>Cost of goods sold</t>
  </si>
  <si>
    <t>Distribution expenses</t>
  </si>
  <si>
    <t>Marketing &amp; administration expenses</t>
  </si>
  <si>
    <t>R&amp;D costs</t>
  </si>
  <si>
    <t>Other trading income</t>
  </si>
  <si>
    <t>Other trading expenses</t>
  </si>
  <si>
    <t>Other operating income</t>
  </si>
  <si>
    <t>Other operating expenses</t>
  </si>
  <si>
    <t>Effective tax rate</t>
  </si>
  <si>
    <t>Income from associates &amp; JV</t>
  </si>
  <si>
    <t>Non-controlling interests</t>
  </si>
  <si>
    <t>Dividend payout ratio, % of net profit (parent)</t>
  </si>
  <si>
    <t>Dividends to NCI, % of NCI profit</t>
  </si>
  <si>
    <t>Treasury share purchases, CHF mm/year</t>
  </si>
  <si>
    <t>Dividends received from associates &amp; JV, % of opening balance</t>
  </si>
  <si>
    <t>Working Capital Schedule</t>
  </si>
  <si>
    <t>Revenue</t>
  </si>
  <si>
    <t>AMOUNTS PER DAY</t>
  </si>
  <si>
    <t>Accounts Receivable  (Days)</t>
  </si>
  <si>
    <t>Inventory  (Days)</t>
  </si>
  <si>
    <t>Accounts Payable  (Days)</t>
  </si>
  <si>
    <t>Prepayments  (Days)</t>
  </si>
  <si>
    <t>Accruals  (Days)</t>
  </si>
  <si>
    <t>TOTAL AMOUNTS</t>
  </si>
  <si>
    <t>Accounts Receivable</t>
  </si>
  <si>
    <t>Inventory</t>
  </si>
  <si>
    <t>Accounts Payable</t>
  </si>
  <si>
    <t>CASH CHANGES</t>
  </si>
  <si>
    <t>Cash from Working Capital Items</t>
  </si>
  <si>
    <t>Asset Schedule</t>
  </si>
  <si>
    <t>Capital Expenditure</t>
  </si>
  <si>
    <t>Capex, % of sales</t>
  </si>
  <si>
    <t>Capital Expenditure — PP&amp;E</t>
  </si>
  <si>
    <t>Intangible capex, % of sales</t>
  </si>
  <si>
    <t>Capital Expenditure — Intangible assets</t>
  </si>
  <si>
    <t>TOTAL DEPRECIATION &amp; AMORTIZATION</t>
  </si>
  <si>
    <t>Combined D&amp;A rate, % of opening PP&amp;E + intangibles</t>
  </si>
  <si>
    <t>D&amp;A allocated to PP&amp;E (remainder to intangibles), %</t>
  </si>
  <si>
    <t>Property, plant and equipment</t>
  </si>
  <si>
    <t>Intangible assets</t>
  </si>
  <si>
    <t>Total Depreciation &amp; Amortization</t>
  </si>
  <si>
    <t xml:space="preserve">  Depreciation — PP&amp;E</t>
  </si>
  <si>
    <t xml:space="preserve">  Amortization — Intangible assets</t>
  </si>
  <si>
    <t>PROPERTY, PLANT &amp; EQUIPMENT</t>
  </si>
  <si>
    <t>Beginning</t>
  </si>
  <si>
    <t>Depreciation</t>
  </si>
  <si>
    <t>Ending</t>
  </si>
  <si>
    <t>INTANGIBLE ASSETS</t>
  </si>
  <si>
    <t>Amortization</t>
  </si>
  <si>
    <t>TAX BASIS</t>
  </si>
  <si>
    <t>Tax Depreciation</t>
  </si>
  <si>
    <t>Model uses a blended D&amp;A rate on opening net book value , consistent with the level of disclosure in Nestlé's consolidated statements. All PP&amp;E and intangible capex is depreciated/amortized on this blended basis;</t>
  </si>
  <si>
    <t>Income Tax Schedule</t>
  </si>
  <si>
    <t>EBT</t>
  </si>
  <si>
    <t>Profitable Before Tax?</t>
  </si>
  <si>
    <t>Unused Tax Loss Remaining</t>
  </si>
  <si>
    <t>ADJUSTMENT FOR DEPRECIATION</t>
  </si>
  <si>
    <t>Add: Accounting Depreciation</t>
  </si>
  <si>
    <t>Less: Tax Depreciation</t>
  </si>
  <si>
    <t>EBT After Adjustment</t>
  </si>
  <si>
    <t>Less: Use of Tax Losses</t>
  </si>
  <si>
    <t>Taxable Income</t>
  </si>
  <si>
    <t>TAX LOSSES</t>
  </si>
  <si>
    <t>Add: New Losses</t>
  </si>
  <si>
    <t>Investments in Associates &amp; JV Schedule</t>
  </si>
  <si>
    <t>Investments in associates and joint ventures</t>
  </si>
  <si>
    <t>Income from associates and joint ventures</t>
  </si>
  <si>
    <t>Investments (net of divestments) in associates and JV</t>
  </si>
  <si>
    <t xml:space="preserve">Associates &amp; JV — closing balance </t>
  </si>
  <si>
    <t>Debt Schedule: Part 1</t>
  </si>
  <si>
    <t>CASH &amp; SHORT-TERM INVESTMENTS</t>
  </si>
  <si>
    <t>Beginning Balance</t>
  </si>
  <si>
    <t>Ending Balance</t>
  </si>
  <si>
    <t>Circularity</t>
  </si>
  <si>
    <t>Interest Rate</t>
  </si>
  <si>
    <t>Interest Income</t>
  </si>
  <si>
    <t>FINANCIAL DEBT</t>
  </si>
  <si>
    <t>Increase / (Decrease), % YoY</t>
  </si>
  <si>
    <t xml:space="preserve">  of which: current portion, %</t>
  </si>
  <si>
    <t xml:space="preserve">  of which: Current portion</t>
  </si>
  <si>
    <t xml:space="preserve">  of which: Non-current portion</t>
  </si>
  <si>
    <t>Interest Expense</t>
  </si>
  <si>
    <t>Debt Schedule: Part 2</t>
  </si>
  <si>
    <t>AVAILABLE CASH</t>
  </si>
  <si>
    <t>Beginning Cash Balance</t>
  </si>
  <si>
    <t>Cash from Operations</t>
  </si>
  <si>
    <t>Cash from Investing</t>
  </si>
  <si>
    <t>Cash from Financing (Exclude Revolver)</t>
  </si>
  <si>
    <t>Currency retranslations</t>
  </si>
  <si>
    <t>Cash Available for Revolving Credit Line</t>
  </si>
  <si>
    <t>REVOLVING CREDIT LINE</t>
  </si>
  <si>
    <t>NET INTEREST</t>
  </si>
  <si>
    <t>Less: Interest Income</t>
  </si>
  <si>
    <t>Net Interest Expense</t>
  </si>
  <si>
    <t>Equity Schedule</t>
  </si>
  <si>
    <t>RETAINED EARNINGS</t>
  </si>
  <si>
    <t>Net Income</t>
  </si>
  <si>
    <t>Dividends paid to parent shareholders</t>
  </si>
  <si>
    <t>NCI</t>
  </si>
  <si>
    <t>NCI Profit</t>
  </si>
  <si>
    <t>Acquisition (net) of NCI</t>
  </si>
  <si>
    <t>Dividends paid to NCI</t>
  </si>
  <si>
    <t>TREASURY SHARES</t>
  </si>
  <si>
    <t>Treasury Share Purchase</t>
  </si>
  <si>
    <t>Income Statement</t>
  </si>
  <si>
    <t>Sales</t>
  </si>
  <si>
    <t>Marketing and administration expenses</t>
  </si>
  <si>
    <t>Research and development costs</t>
  </si>
  <si>
    <t>Trading operating profit</t>
  </si>
  <si>
    <t>Operating profit</t>
  </si>
  <si>
    <t>Financial income</t>
  </si>
  <si>
    <t>Financial expense</t>
  </si>
  <si>
    <t>Profit before taxes, associates and joint ventures</t>
  </si>
  <si>
    <t>Profit for the year</t>
  </si>
  <si>
    <t>of which attributable to non-controlling interests</t>
  </si>
  <si>
    <t>of which attributable to shareholders of the parent</t>
  </si>
  <si>
    <t>Cash Flow Statement</t>
  </si>
  <si>
    <t>Operating activities</t>
  </si>
  <si>
    <t>Depreciation and amortization</t>
  </si>
  <si>
    <t>Impairment</t>
  </si>
  <si>
    <t>Net result on disposal of businesses</t>
  </si>
  <si>
    <t>Other non-cash items of income and expense</t>
  </si>
  <si>
    <t>Cash flow before changes in operating assets and liabilities</t>
  </si>
  <si>
    <t>Decrease/(increase) in working capital</t>
  </si>
  <si>
    <t>Variation of other operating assets and liabilities</t>
  </si>
  <si>
    <t>Cash generated from operations</t>
  </si>
  <si>
    <t>Interest paid</t>
  </si>
  <si>
    <t>Interest and dividends received</t>
  </si>
  <si>
    <t>Taxes paid</t>
  </si>
  <si>
    <t>Dividends and other distributions from associates and JV</t>
  </si>
  <si>
    <t>Operating cash flow</t>
  </si>
  <si>
    <t>Investing activities</t>
  </si>
  <si>
    <t>Acquisition of businesses, net of cash acquired</t>
  </si>
  <si>
    <t>Disposal of businesses, net of cash disposed of</t>
  </si>
  <si>
    <t>Inflows/(outflows) from treasury investments</t>
  </si>
  <si>
    <t>Acquisition (net) in long-term investments</t>
  </si>
  <si>
    <t>Other investing activities</t>
  </si>
  <si>
    <t>Investing cash flow</t>
  </si>
  <si>
    <t>Financing activities</t>
  </si>
  <si>
    <t>Dividend paid to shareholders of the parent</t>
  </si>
  <si>
    <t>Dividends paid to non-controlling interests</t>
  </si>
  <si>
    <t>Acquisition (net) of non-controlling interests</t>
  </si>
  <si>
    <t>Purchase of treasury shares</t>
  </si>
  <si>
    <t>Inflows from bonds and other long-term financial debt</t>
  </si>
  <si>
    <t>Outflows from bonds, lease liabilities and other long-term financial debt</t>
  </si>
  <si>
    <t>Inflows/(outflows) from short-term financial debt</t>
  </si>
  <si>
    <t>Change in Revolving Credit Line</t>
  </si>
  <si>
    <t>Financing cash flow</t>
  </si>
  <si>
    <t>Increase/(decrease) in cash and cash equivalents</t>
  </si>
  <si>
    <t>Cash and cash equivalents at beginning of year</t>
  </si>
  <si>
    <t>Cash and cash equivalents at end of year</t>
  </si>
  <si>
    <t>Cash and cash equivalents classified as held for sale</t>
  </si>
  <si>
    <t>Cash and cash equivalents as per balance sheet</t>
  </si>
  <si>
    <t>Balance Sheet</t>
  </si>
  <si>
    <t>Assets — Current</t>
  </si>
  <si>
    <t>Cash and cash equivalents</t>
  </si>
  <si>
    <t>Short-term investments</t>
  </si>
  <si>
    <t>Inventories</t>
  </si>
  <si>
    <t>Trade and other receivables</t>
  </si>
  <si>
    <t>Derivative assets</t>
  </si>
  <si>
    <t>Current income tax assets</t>
  </si>
  <si>
    <t>Assets held for sale</t>
  </si>
  <si>
    <t>Total current assets</t>
  </si>
  <si>
    <t>Assets — Non-current</t>
  </si>
  <si>
    <t>Goodwill</t>
  </si>
  <si>
    <t>Financial assets</t>
  </si>
  <si>
    <t>Derivative assets (non-current)</t>
  </si>
  <si>
    <t>Employee benefits assets and reimbursement rights</t>
  </si>
  <si>
    <t>Deferred tax assets</t>
  </si>
  <si>
    <t>Total non-current assets</t>
  </si>
  <si>
    <t>Total assets</t>
  </si>
  <si>
    <t>Liabilities — Current</t>
  </si>
  <si>
    <t>Financial debt</t>
  </si>
  <si>
    <t>Derivative liabilities</t>
  </si>
  <si>
    <t>Trade and other payables</t>
  </si>
  <si>
    <t>Provisions</t>
  </si>
  <si>
    <t>Current income tax liabilities</t>
  </si>
  <si>
    <t>Liabilities directly associated with assets held for sale</t>
  </si>
  <si>
    <t>Total current liabilities</t>
  </si>
  <si>
    <t>Liabilities — Non-current</t>
  </si>
  <si>
    <t>Employee benefits liabilities</t>
  </si>
  <si>
    <t>Deferred tax liabilities</t>
  </si>
  <si>
    <t>Other payables</t>
  </si>
  <si>
    <t>Total non-current liabilities</t>
  </si>
  <si>
    <t>Total liabilities</t>
  </si>
  <si>
    <t>Share capital</t>
  </si>
  <si>
    <t>Treasury shares</t>
  </si>
  <si>
    <t>Translation reserve</t>
  </si>
  <si>
    <t>Other reserves</t>
  </si>
  <si>
    <t>Retained earnings</t>
  </si>
  <si>
    <t>Total equity attributable to shareholders of the parent</t>
  </si>
  <si>
    <t>Total equity</t>
  </si>
  <si>
    <t>Total liabilities and equity</t>
  </si>
  <si>
    <t>CHECK</t>
  </si>
  <si>
    <t>INCOME STATEMENT</t>
  </si>
  <si>
    <t>Cost of Good Sold</t>
  </si>
  <si>
    <t>Gross Profit</t>
  </si>
  <si>
    <t>SG&amp;A Expenses</t>
  </si>
  <si>
    <t>EBITDA</t>
  </si>
  <si>
    <t>EBIT</t>
  </si>
  <si>
    <t>Net Interest</t>
  </si>
  <si>
    <t>Net Profit</t>
  </si>
  <si>
    <t>Parent</t>
  </si>
  <si>
    <t>CASHFLOW STATEMENT</t>
  </si>
  <si>
    <t>Operating</t>
  </si>
  <si>
    <t>Investing</t>
  </si>
  <si>
    <t>Financing</t>
  </si>
  <si>
    <t>BALANCE SHEET</t>
  </si>
  <si>
    <t>Cash &amp; Equivalents</t>
  </si>
  <si>
    <t>Trade Receivable</t>
  </si>
  <si>
    <t>Other Current Assets</t>
  </si>
  <si>
    <t>Total Current Assets</t>
  </si>
  <si>
    <t>PPE</t>
  </si>
  <si>
    <t>Other Non-Current Assets</t>
  </si>
  <si>
    <t>Total Non-Current Assets</t>
  </si>
  <si>
    <t>Total Assets</t>
  </si>
  <si>
    <t>Trade Payable</t>
  </si>
  <si>
    <t>Other Current Liabilities</t>
  </si>
  <si>
    <t>Total Current Liabilities</t>
  </si>
  <si>
    <t>Other Non-Current Liabilities</t>
  </si>
  <si>
    <t>Total Non-Current Liabilities</t>
  </si>
  <si>
    <t>Total Liabilities</t>
  </si>
  <si>
    <t>Equity attributable to shareholders (Parent)</t>
  </si>
  <si>
    <t>Profitability &amp; Return Ratio</t>
  </si>
  <si>
    <t>ROE</t>
  </si>
  <si>
    <t>ROA</t>
  </si>
  <si>
    <t>Return on Net Assets</t>
  </si>
  <si>
    <t>Return on Invested Capital</t>
  </si>
  <si>
    <t>Gross Margin</t>
  </si>
  <si>
    <t>SG&amp;A % of Revenue</t>
  </si>
  <si>
    <t>Other Operating Expenses % of Revenue</t>
  </si>
  <si>
    <t>EBITDA Margin</t>
  </si>
  <si>
    <t>Check</t>
  </si>
  <si>
    <t>Depreciation % of Revenue</t>
  </si>
  <si>
    <t>EBIT Margin</t>
  </si>
  <si>
    <t>Other Non Operating Expense % of Revenue</t>
  </si>
  <si>
    <t>EBT Margin</t>
  </si>
  <si>
    <t>Tax % of Revenue</t>
  </si>
  <si>
    <t>Net Profit Margin</t>
  </si>
  <si>
    <t>Effective Tax Rate</t>
  </si>
  <si>
    <t>Tax Burden</t>
  </si>
  <si>
    <t>Effective Interest Rate</t>
  </si>
  <si>
    <t>Interest Burden</t>
  </si>
  <si>
    <t>Asset Utilization Ratios</t>
  </si>
  <si>
    <t>Asset Turnover</t>
  </si>
  <si>
    <t>PPE Turnover</t>
  </si>
  <si>
    <t>Cash Turnover</t>
  </si>
  <si>
    <t>Cash Days</t>
  </si>
  <si>
    <t>A/R Turnover</t>
  </si>
  <si>
    <t>A/R Days</t>
  </si>
  <si>
    <t>Inventory Turnover</t>
  </si>
  <si>
    <t>Inventory Days</t>
  </si>
  <si>
    <t>A/P Turnover</t>
  </si>
  <si>
    <t>A/P Days</t>
  </si>
  <si>
    <t>Cash Conversion Cycle / WC Funding Gap</t>
  </si>
  <si>
    <t>Leverage Ratios</t>
  </si>
  <si>
    <t>Total Asset to Equity</t>
  </si>
  <si>
    <t>Total Liabilities to Equity</t>
  </si>
  <si>
    <t>Debt to Equity</t>
  </si>
  <si>
    <t>Debt to EBITDA</t>
  </si>
  <si>
    <t>Net Debt to EBITDA</t>
  </si>
  <si>
    <t>Liquidity Ratios</t>
  </si>
  <si>
    <t>Current</t>
  </si>
  <si>
    <t>Quick</t>
  </si>
  <si>
    <t>Interest Coverage</t>
  </si>
  <si>
    <t>Growth Trends</t>
  </si>
  <si>
    <t>Revenue Growth</t>
  </si>
  <si>
    <t>EBITDA Growth</t>
  </si>
  <si>
    <t>EBIT Growth</t>
  </si>
  <si>
    <t>Net Income Growth</t>
  </si>
  <si>
    <t>Total Asset Growth</t>
  </si>
  <si>
    <t>Degree of Operating Leverage</t>
  </si>
  <si>
    <t>Degree of Financial Leverage</t>
  </si>
  <si>
    <t>Degree of Total Leverage</t>
  </si>
  <si>
    <t>DuPont Pyramid 3 Step Check</t>
  </si>
  <si>
    <t>Total Assets to Equity</t>
  </si>
  <si>
    <t>Equals Return on Equity</t>
  </si>
  <si>
    <t>DuPont Pyramid 5 Step Check</t>
  </si>
  <si>
    <t>3-Statement Modeling</t>
  </si>
  <si>
    <t>CONFIDENTIAL</t>
  </si>
  <si>
    <t>Table of Contents</t>
  </si>
  <si>
    <t>Dashboard</t>
  </si>
  <si>
    <t>Model Circularity</t>
  </si>
  <si>
    <t>Unused Tax Losses Remaining?</t>
  </si>
  <si>
    <t>Balance Sheet Unbalanced?</t>
  </si>
  <si>
    <t>Model</t>
  </si>
  <si>
    <t>Key Performance Indicators</t>
  </si>
  <si>
    <t>Reporting year ▸</t>
  </si>
  <si>
    <t>EXECUTIVE FINANCIAL DASHBOARD</t>
  </si>
  <si>
    <t>ROIC</t>
  </si>
  <si>
    <t>Period</t>
  </si>
  <si>
    <t>Revenue (CHF m)</t>
  </si>
  <si>
    <t>EBITDA (CHF m)</t>
  </si>
  <si>
    <t>Gross margin</t>
  </si>
  <si>
    <t>EBITDA margin</t>
  </si>
  <si>
    <t>EBIT margin</t>
  </si>
  <si>
    <t>Net profit margin</t>
  </si>
  <si>
    <t>Net profit (CHF m)</t>
  </si>
  <si>
    <t>Return on equity</t>
  </si>
  <si>
    <t>Return on assets</t>
  </si>
  <si>
    <t>Return on invested capital</t>
  </si>
  <si>
    <t>Net debt / EBITDA</t>
  </si>
  <si>
    <t>Interest coverage (EBITDA / interest)</t>
  </si>
  <si>
    <t>Current ratio</t>
  </si>
  <si>
    <t>Quick ratio</t>
  </si>
  <si>
    <t>Revenue growth</t>
  </si>
  <si>
    <t>EBITDA growth</t>
  </si>
  <si>
    <t>Net profit growth</t>
  </si>
  <si>
    <t>Operating costs incl. D&amp;A (CHF m)</t>
  </si>
  <si>
    <t>Net interest (CHF m)</t>
  </si>
  <si>
    <t>Income from associates (CHF m)</t>
  </si>
  <si>
    <t>Asset turnover</t>
  </si>
  <si>
    <t>Total assets / equity</t>
  </si>
  <si>
    <t>Chart Data</t>
  </si>
  <si>
    <t>n.a.</t>
  </si>
  <si>
    <t>REVENUE (CHF m)</t>
  </si>
  <si>
    <t>EBITDA MARGIN</t>
  </si>
  <si>
    <t>NET PROFIT (CHF m)</t>
  </si>
  <si>
    <t>FREE CASH FLOW (CHF m)</t>
  </si>
  <si>
    <t>NET DEBT / EBITDA</t>
  </si>
  <si>
    <t>CASH CONVERSION CYCLE</t>
  </si>
  <si>
    <t>Revenue &amp; Profitability Margin</t>
  </si>
  <si>
    <t>Net Profit vs Free Cash Flow</t>
  </si>
  <si>
    <t>CY</t>
  </si>
  <si>
    <t>PY</t>
  </si>
  <si>
    <t>Free cash flow (CHF m)</t>
  </si>
  <si>
    <t>Expenses Summary</t>
  </si>
  <si>
    <t>SG&amp;A</t>
  </si>
  <si>
    <t>Depre</t>
  </si>
  <si>
    <t>JV income</t>
  </si>
  <si>
    <t>Income Summary</t>
  </si>
  <si>
    <t>Non-Cash Adj</t>
  </si>
  <si>
    <t>Cash Flow</t>
  </si>
  <si>
    <t>Int/Tax/Div</t>
  </si>
  <si>
    <t>NWC</t>
  </si>
  <si>
    <t>Cash Cycle</t>
  </si>
  <si>
    <t>Working Capital Cycle</t>
  </si>
  <si>
    <t>Sensitivity inputs</t>
  </si>
  <si>
    <t>Revenue Growth Step</t>
  </si>
  <si>
    <t>EBITDA Margin Step</t>
  </si>
  <si>
    <t>Cash Generation Sensitivity</t>
  </si>
  <si>
    <t>Liquidity Sensitivity</t>
  </si>
  <si>
    <t>Free Cash Flow</t>
  </si>
  <si>
    <t>Cash Balance</t>
  </si>
  <si>
    <t>METHODOLOGY &amp; NOTES</t>
  </si>
  <si>
    <t>Ouput</t>
  </si>
  <si>
    <t>Input</t>
  </si>
  <si>
    <r>
      <t xml:space="preserve">ADJUSTMENT FOR TAX LOSSES </t>
    </r>
    <r>
      <rPr>
        <b/>
        <vertAlign val="superscript"/>
        <sz val="10"/>
        <rFont val="Segoe UI"/>
        <family val="2"/>
      </rPr>
      <t>1</t>
    </r>
  </si>
  <si>
    <r>
      <t xml:space="preserve">Less: Use of Tax Losses </t>
    </r>
    <r>
      <rPr>
        <vertAlign val="superscript"/>
        <sz val="9"/>
        <rFont val="Segoe UI"/>
        <family val="2"/>
      </rPr>
      <t>2</t>
    </r>
  </si>
  <si>
    <t xml:space="preserve">This schedule assumes that tax losses can be carried forward indefinitely into the future. </t>
  </si>
  <si>
    <t xml:space="preserve">This schedule assumes losses do not carry back to previous periods to reduce taxable income. </t>
  </si>
  <si>
    <t>All figures in CHF millions unless stated</t>
  </si>
  <si>
    <t>Model Checks</t>
  </si>
  <si>
    <t>Circularity Switch</t>
  </si>
  <si>
    <t>Model Guide</t>
  </si>
  <si>
    <t>Adjustable Input</t>
  </si>
  <si>
    <t>Hardcode</t>
  </si>
  <si>
    <t>Formula</t>
  </si>
  <si>
    <t>(Blue Font)</t>
  </si>
  <si>
    <t>(Black Font)</t>
  </si>
  <si>
    <t>(Grey Cell)</t>
  </si>
  <si>
    <t>Do Not</t>
  </si>
  <si>
    <t>Delete</t>
  </si>
  <si>
    <r>
      <t>DISCLAIMER &amp; NOTICE OF INTENT</t>
    </r>
    <r>
      <rPr>
        <sz val="11"/>
        <color rgb="FF000000"/>
        <rFont val="Calibri"/>
        <family val="2"/>
        <scheme val="minor"/>
      </rPr>
      <t xml:space="preserve"> </t>
    </r>
  </si>
  <si>
    <t>1. Independent Portfolio Project: This financial model and dashboard were prepared solely by the author, in a personal capacity, to demonstrate</t>
  </si>
  <si>
    <t>skills in financial modeling and financial statement analysis. They do not reflect the views of any employer.</t>
  </si>
  <si>
    <t>2. Public Data Sources: Historical figures are drawn from publicly available sources (Nestlé Investor Relations / Annual Reports). Forecasts and</t>
  </si>
  <si>
    <t>scenarios (Best / Base / Worst) are the author's own illustrative assumptions, not forecasts issued by Nestlé.</t>
  </si>
  <si>
    <t>3. No Affiliation: This project is not affiliated with, authorized by, or endorsed by Nestlé S.A. Nestlé and related names and marks are the</t>
  </si>
  <si>
    <t>property of their respective owners and are used for identification only.</t>
  </si>
  <si>
    <t>4. No Advice: Nothing herein constitutes investment advice, equity research, or a recommendation to buy or sell any security.</t>
  </si>
  <si>
    <t>Best Case: reported sales growth converges toward the organic growth guidance (3–4% for 2026) as the c.3% FX headwind from a strong CHF and the 2025–26 portfolio exits (Waters JV, VMS, ice cream) roll off, building to 5% by 2030. Source: Nestlé H1 2026 results and FY2026 guidance.</t>
  </si>
  <si>
    <t>Worst Case: a demand and macro shock in 2028–29 (–5.5% and –3.0%), sized on the roughly ten-year cadence of past global stress events (1998, 2008, 2020). Consumer staples are assumed to decline less than cyclical sectors, with stabilisation in 2030.</t>
  </si>
  <si>
    <t>Other revenue (royalty and licensing-type income) as % of sales. FY23–25 range 0.38–0.44%; the Best Case trends gently upward with stronger sales momentum.</t>
  </si>
  <si>
    <t>Compressed during the 2028–29 downturn on lower royalty and licensing volumes, recovering partially by 2030.</t>
  </si>
  <si>
    <t>COGS is projected as a growth rate on the prior year and is the main lever for the gross-margin path. In the Best Case COGS grows slower than sales, supported by 'Fuel for Growth' procurement savings (CHF 3bn gross savings target by end-2027) and easing cocoa and coffee costs.</t>
  </si>
  <si>
    <t>In the 2028 shock year COGS falls less than sales (–5.3% vs –5.5%): input costs and FX stay elevated while volumes soften, the typical operating-deleverage pattern for consumer staples in a downturn.</t>
  </si>
  <si>
    <t>Distribution costs as % of sales continue the FY23–25 decline (8.3% to 8.2%) through logistics and network efficiencies, reaching 7.4% by 2030.</t>
  </si>
  <si>
    <t>Gradual improvement from the FY2025 level (8.2%) to 7.9% by 2030 from ongoing logistics and network efficiency.</t>
  </si>
  <si>
    <t>Rises to 9.0% in 2028 as freight costs increase and lower volumes absorb fixed distribution costs, then partially normalises.</t>
  </si>
  <si>
    <t>Includes a deliberate step-up in advertising and promotion, in line with management's stated intent to lift A&amp;P toward c.9% of sales, within a Marketing &amp; Administration total that has run at 19–20% of sales; reaches 20.8% by 2030.</t>
  </si>
  <si>
    <t>Modest reinvestment from 20.0% to 20.3% of sales, broadly in line with the FY2025 level (20.0%).</t>
  </si>
  <si>
    <t>Rises to 21.3% in 2028: overheads are less flexible than marketing spend, so the ratio increases even as A&amp;P is reduced; it partially normalises thereafter.</t>
  </si>
  <si>
    <t>Small and historically volatile line (FY23–25: 0.14–0.15% of sales); the Best Case is slightly higher.</t>
  </si>
  <si>
    <t>Held near the FY23–25 average.</t>
  </si>
  <si>
    <t>Compressed during the 2028–29 downturn.</t>
  </si>
  <si>
    <t>Adds further impairment and restructuring charges in the 2028 shock year (3.4% of sales) on top of the ongoing programme, before receding.</t>
  </si>
  <si>
    <t>Historically volatile, disposal-gain-type line (FY23–25: 0.28–0.52% of sales); the Best Case assumes slightly more portfolio gains.</t>
  </si>
  <si>
    <t>Compressed in the downturn as fewer disposal gains are realised.</t>
  </si>
  <si>
    <t>Historically 0.42–0.81% of sales (FY23–25); the Best Case trends lower.</t>
  </si>
  <si>
    <t>Rises to 1.35% of sales in the 2028 trough, then recedes.</t>
  </si>
  <si>
    <t>Year-on-year growth in income from associates &amp; JV (mainly the L'Oréal stake); the Best Case assumes 6–7% growth.</t>
  </si>
  <si>
    <t>Modest recovery (3–5% a year) after the FY2025 decline (–8.5%).</t>
  </si>
  <si>
    <t>Declines with the equity-market and consumer downturn in 2026–29, then recovers slightly in 2030.</t>
  </si>
  <si>
    <t>Blended tax depreciation rate on the tax basis (8%), slightly above the book D&amp;A rate (c.7%), reflecting moderately accelerated tax allowances; the resulting timing difference builds a deferred tax liability.</t>
  </si>
  <si>
    <t>Opening tax basis of depreciable assets, proxied to the FY2025 net book value of PP&amp;E and intangible assets (CHF 49,222m), as the tax basis is not disclosed. Both PP&amp;E and intangible capex and D&amp;A flow through the tax schedule, consistent with this base.</t>
  </si>
  <si>
    <t>Opening tax loss carryforwards assumed nil, given the Group's consistent consolidated profitability (not disclosed).</t>
  </si>
  <si>
    <t>Minimum cash balance (CHF m)</t>
  </si>
  <si>
    <t>Minimum operating cash balance. If cash would fall below this level, the revolving credit line is drawn; surplus cash repays the facility first. Set below the FY2023–25 range (CHF 4.6–5.6bn) as a working-cash floor for a group of this size.</t>
  </si>
  <si>
    <t>Buyback ceiling, net debt / EBITDA (x)</t>
  </si>
  <si>
    <t>Share buybacks are executed only when prior-year net debt / EBITDA is at or below this ceiling. Management has publicly stated an aim of roughly 2.5x on its own definition; this model's stricter basis (reported EBITDA, cash only) ran about 0.5x higher in FY2025 (3.35x vs c.2.85x), so 3.0x is the equivalent threshold.</t>
  </si>
  <si>
    <t>Maximum payout ratio under dividend floor</t>
  </si>
  <si>
    <t xml:space="preserve">Liquidity: the revolving credit line funds any shortfall below the minimum cash balance and is repaid first from surplus cash. Shareholder returns: progressive dividend floor (capped by a maximum payout) </t>
  </si>
  <si>
    <t xml:space="preserve">and buybacks subject to a leverage ceiling. Taxes: cash taxes from the tax depreciation schedule, with timing differences in deferred tax liabilities. </t>
  </si>
  <si>
    <t>Interest on opening balances unless the circularity switch on the Cover sheet is on.</t>
  </si>
  <si>
    <t xml:space="preserve">2023A–2025A figures are hardcoded from Nestlé's published financial statements. 2026F–2030F figures are formula-driven from the Input sheet; changing any assumption recalculates all three statements. </t>
  </si>
  <si>
    <t xml:space="preserve">Notes: </t>
  </si>
  <si>
    <t>Best Case: DSO improves c.0.5 day a year to 40.5 days by 2030 as receivables processing moves into expanded shared services with tighter escalation and governance (FY2025 strategic update).</t>
  </si>
  <si>
    <t>Worst Case: customers and distributors stretch payment terms in the 2028 downturn (48 days, above the FY2024 peak of 45 days), normalising partially to 46 days by 2030.</t>
  </si>
  <si>
    <t>Best Case: inventory days fall back below the FY2023 level (86 days) to 84 days by 2030 as lower coffee and cocoa costs flow through and data-driven inventory resets (finished goods, raw &amp; packaging, spare parts) are fully embedded.</t>
  </si>
  <si>
    <t>Worst Case: renewed commodity inflation combined with a volume shortfall builds inventory to 104 days in 2028 (above the FY2024 peak of 99 days), before partial correction to 97 days by 2030.</t>
  </si>
  <si>
    <t>Best Case: further extension of supplier terms and supply-chain-finance coverage, rising to 155 days by 2030 (the previous Base Case path).</t>
  </si>
  <si>
    <t>Worst Case: suppliers tighten terms and lower purchase volumes reduce payables in the downturn, falling to 140 days in 2028 (FY2023 level: 139 days) and recovering to 144 days by 2030.</t>
  </si>
  <si>
    <t>Best Case: capex at the lower end of management's 4-5% of sales range (4.4-4.6% on this model's basis), reflecting tighter business-case scrutiny and the end of the 2022-24 capacity build-out; absolute capex still rises with sales.</t>
  </si>
  <si>
    <t>Worst Case: absolute capex is sticky (committed projects; safety and quality spend non-negotiable) at c.CHF 4.4-4.8bn while sales fall, lifting the ratio to 5.3% in 2028; trimmed back to 5.0% by 2030.</t>
  </si>
  <si>
    <t>Best Case: dividend per share rises CHF 0.10 a year from 2027 (CHF 3.10 paid in April 2026 = c.CHF 8.0bn cash), funded by stronger profit and cash flow. Payout back-solved from Best Case net profit.</t>
  </si>
  <si>
    <t>Worst Case: no buybacks; all surplus cash goes to protecting the dividend and the balance sheet.</t>
  </si>
  <si>
    <t>Best Case: 6.5% of the opening balance throughout, supported by a progressive L'Oreal dividend and distributions from the new waters JV (Peranel) once established.</t>
  </si>
  <si>
    <t>Base Case: ordinary distributions ran at 5.3-5.8% of the opening balance in FY2024-25, excluding the CHF 2.0bn extraordinary Froneri distribution in 2025; the lower 2026 opening base lifts the ratio to c.6%.</t>
  </si>
  <si>
    <t>Worst Case: 2026 close to Base (main dividends received in H1); associates cut distributions to 4.5-5.0% in the 2027-29 downturn.</t>
  </si>
  <si>
    <t>2026F</t>
  </si>
  <si>
    <t>Ratios use year-end balances (ROE, ROA, ROIC, turnover, leverage) so the DuPont identities reconcile exactly; ROE/ROA use profit for the year (incl. NCI) over total equity incl. NCI. All Check rows on the Output sheet equal zero.</t>
  </si>
  <si>
    <t>Interest-bearing debt = non-current + current financial debt + revolver. Net debt deducts cash only (not short-term investments) and uses reported EBITDA, so leverage reads c.0.5x above Nestlé's own definition (FY2025: 3.35x vs 2.85x reported).</t>
  </si>
  <si>
    <t>ROIC = EBIT × (1 − effective tax rate) ÷ (total equity + interest-bearing debt − cash).  RONA = net profit ÷ (PP&amp;E + receivables + inventory − payables). DSO on revenue incl. other revenue; DSI and DPO on COGS.</t>
  </si>
  <si>
    <t>Free cash flow = operating cash flow − capex − expenditure on intangibles, before lease repayments; not comparable with Nestlé's reported FCF (FY2025: CHF 11.0bn here vs CHF 9.2bn reported). A = actual (2023-2025), F = forecast under the selected scenario.</t>
  </si>
  <si>
    <t>Sensitivity grids are closed-form (no Data Tables) and recalculate with the model and the reporting-year selector. FCF grid: ΔEBITDA × (1 − tax rate), with capex, working capital and interest held constant. Cash grid: ΔDSO × revenue/365 and ΔDPO × COGS/365.</t>
  </si>
  <si>
    <t>Base Case: 2026 +0.5% = organic growth guidance of 3–4% less a c.3% FX headwind at spot rates (H1 2026 guidance); 2027 +1.5% as FX normalises; 2028 slows under an assumed mild global slowdown; 2029–30 returns toward the organic trend (2.0–2.8%). The Waters deconsolidation into the Peranel JV (FY2025 sales CHF 3.5bn, closing H1 2027) is not modelled separately and would lower 2027 reported sales by up to c.4pp.</t>
  </si>
  <si>
    <t>Held at 0.42–0.45% of sales, close to the FY2025 level (0.44%) and slightly above the FY23–25 average (0.41%).</t>
  </si>
  <si>
    <t>Calibrated so that the EBITDA margin moves from 17.5% (2026) to 18.3% (2030), recovering above the FY2025 level (17.7%) but staying below FY2024 (20.0%), as coffee and cocoa cost relief and 'Fuel for Growth' savings are partly reinvested.</t>
  </si>
  <si>
    <t>Elevated in 2026–27 by 'Fuel for Growth' restructuring and impairment-type charges (c.16,000 role reductions by end-2027, announced in Q4 2025), fading from 2028 as the programme completes; the Best Case assumes faster execution.</t>
  </si>
  <si>
    <t>H1 2026 other trading expenses ran at 1.9% of sales (restructuring and net other trading items CHF 0.8bn vs CHF 0.4bn in H1 2025) as 'Fuel for Growth' restructuring accelerated; 2.4% for the full year allows for H2 phasing, declining to 0.95% of sales by 2030 as the programme completes.</t>
  </si>
  <si>
    <t>Held near the FY2025 level (0.28% of sales), below the FY23–25 average (0.37%), which included higher disposal gains in 2024.</t>
  </si>
  <si>
    <t>0.60% of sales in 2026 easing to 0.48% by 2030, below FY2025 (0.73%, incl. infant-formula inventory write-offs). Excludes the CHF 1.3bn one-off non-cash write-down on assets held for sale booked in H1 2026, so reported 2026 net profit will be lower than modelled; the non-cash share of this line is added back in the cash flow via row 168.</t>
  </si>
  <si>
    <t>Base Case: starts from the FY2025 actual (43.1 days) and eases to 42 days by 2030, supported by tighter receivables governance and the expansion of shared services (FY2023–25 range: 43–45 days).</t>
  </si>
  <si>
    <t>Base Case: gradual normalisation from the commodity-inflated FY2024–25 level (96–99 days) to 87 days by 2030, close to FY2023 (86 days); 2026 (93 days) reflects the working-capital improvement reported in H1 2026, partly from lower coffee and cocoa costs.</t>
  </si>
  <si>
    <t>Base Case: held flat at 150 days, the FY2025 level and close to the FY2023–25 average (151 days). Payable days are already high for the sector; lower commodity prices reduce payable balances, and further extension would rely on supplier-finance programmes.</t>
  </si>
  <si>
    <t>Base Case: 4.9% of sales in 2026 easing to 4.7% by 2030. Management guides capex to normalise within 4–5% of sales (FY2025: 4.8% on Nestlé's definition vs 5.1% on this model's cash-flow PP&amp;E basis), and lower capex already supported H1 2026 free cash flow. Source: FY2025 results call (19 Feb 2026); H1 2026 results.</t>
  </si>
  <si>
    <t>Base Case: reflects the progressive dividend – CHF 3.10/share paid April 2026 (c.CHF 8.0bn, already paid), then +CHF 0.05/share a year, in line with the FY2025 increase. Payout (79–87% of reported net profit) is back-solved from Base Case net profit and should be re-checked if margin inputs change.</t>
  </si>
  <si>
    <t>Worst Case: 2026 fixed at the CHF 8.0bn already paid. From 2027 the payout input is set at 70%, so the dividend floor holds the prior-year dividend, capped at 100% of net profit (cell F186).</t>
  </si>
  <si>
    <t>Best Case: buybacks resume from 2027 and scale to CHF 4bn a year as leverage reaches the middle of the 2–3x target range (Nestlé bought back CHF 4.7–5.2bn a year in 2023–24). Executed only when prior-year leverage is within the ceiling (F185).</t>
  </si>
  <si>
    <t>Base Case: nil in 2026–27 (no programme in place; management prioritises the dividend and net debt reduction, with buybacks only from excess cash), then CHF 1.0–2.0bn a year. Leverage-gated (F185): Base Case model leverage falls below the 3.0x ceiling in 2029 (c.2.9x), so the first buyback (CHF 2.0bn) is executed in 2030.</t>
  </si>
  <si>
    <t>Year-on-year change in total financial debt: modest deleveraging in 2026–27 (FY2025: –9.0%), stable in 2028 and modest growth from 2029 in line with the business. Any short-term funding need is met by the revolving credit line. The c.CHF 2.8bn Peranel JV proceeds expected in H1 2027 are not modelled and would accelerate deleveraging.</t>
  </si>
  <si>
    <t>Share of financial debt maturing within one year, held at 20%: the FY2025 level and the top of the FY2023–25 range (17–20%). Affects only the current/non-current split and liquidity ratios, not cash.</t>
  </si>
  <si>
    <t>Non-cash charges</t>
  </si>
  <si>
    <t>% Other Exp.</t>
  </si>
  <si>
    <t>Share of other trading and other operating expenses that is non-cash (impairments, write-downs), added back in the cash flow and written off against goodwill. Impairments were 27%, 37% and 37% of these expenses in FY2023–25; 35% applied. Restructuring is treated as cash.</t>
  </si>
  <si>
    <t>Effective tax rate on profit before tax, associates and JV. 23.5% sits between the underlying rate (22.1% FY2025; 22.3% H1 2026) and the reported rate (24.6% FY2025), allowing for recurring non-deductible items and the OECD Pillar Two 15% minimum tax. Cash taxes come from the tax depreciation schedule; the timing difference is recorded in deferred tax liabilities.</t>
  </si>
  <si>
    <t>Share of current-year capex added to the tax depreciation base in the year of spend (partial-year convention); the full amount enters the base from the following year.</t>
  </si>
  <si>
    <t>Interest rate earned on cash and short-term investments, applied to opening balances. Set below the FY2025 implied yield (3.8%; FY2024: 6.1%) to reflect lower CHF and EUR short-term rates.</t>
  </si>
  <si>
    <t>F182 – NCI share of profit, held near the FY23–25 average (2.4–2.6%). | M182 – Interest rate on opening financial debt (2.9%): FY2025 financial expense equalled 2.9% of opening debt, and Nestlé reports an average cost of net debt of 2.5–2.6% (FY2025, H1 2026); the small cushion covers refinancing of maturing low-coupon debt.</t>
  </si>
  <si>
    <t>F183 – R&amp;D cost, held at the FY23–25 average (1.8% of sales). | M183 – Interest rate on the revolving credit line (4.2%), priced at a spread above term debt in line with typical committed-facility pricing.</t>
  </si>
  <si>
    <t>Upper limit for the progressive-dividend floor: the prior-year dividend is maintained only up to this share of profit attributable to shareholders. A deliberate prudence choice: Nestlé has maintained or increased its dividend for 66 years, so in a deep downturn management may hold the dividend above 100% payout.</t>
  </si>
  <si>
    <t>Non-cash share of other trading &amp; operating expenses</t>
  </si>
  <si>
    <t>Other movements (FX, leases, impairments, disposals)</t>
  </si>
  <si>
    <t>Other movements (FX, acquisitions, impairments, disposals)</t>
  </si>
  <si>
    <t xml:space="preserve"> Historical 'Other movements' reconcile the PP&amp;E and intangibles roll-forwards to reported balances (FX, leases, impairments, disposals); the forecast assumes none, so the asset base moves only with capex and D&amp;A.</t>
  </si>
  <si>
    <t>Simplifications: no M&amp;A or business disposals; impairments are a non-cash share of other trading/operating expenses (Input row 168), added back in the cash flow and written off against goodwill; short-term investments and most other balance-sheet items held flat; FX/translation impact assumed nil.</t>
  </si>
  <si>
    <t xml:space="preserve"> prepayments are c.CHF 0.5bn (c.2 days of sales, stable over FY2023–25); scenario impact on cash is immaterial, so a single input applies to all scenarios.</t>
  </si>
  <si>
    <t xml:space="preserve"> accruals held at 40–41 days of COGS, in line with FY2024–25 (41–42 days); a single input applies to all scenarios.</t>
  </si>
  <si>
    <t xml:space="preserve"> intangible expenditure (mainly IT/software) ran at 0.36–0.53% of sales over FY2023–25 (cash-flow basis) and is immaterial to group cash flow; a single input applies to all scenarios.</t>
  </si>
  <si>
    <t xml:space="preserve"> the D&amp;A rate is an accounting estimate on the opening asset base (FY2024–25: 6.9–7.4%). Capex scenarios already flow into D&amp;A through the asset base; a single input applies to all scenarios.</t>
  </si>
  <si>
    <t xml:space="preserve"> c.85% of D&amp;A relates to PP&amp;E (incl. right-of-use assets), the remainder to intangibles; a structural split, not scenario-dependent.</t>
  </si>
  <si>
    <t xml:space="preserve"> dividends to NCI are small (c.CHF 0.2bn) and follow subsidiary policy; held at 75% of NCI profit, within the FY2023-25 range (60-108%).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</si>
</sst>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&quot;A&quot;"/>
    <numFmt numFmtId="167" formatCode="0&quot;F&quot;"/>
    <numFmt numFmtId="168" formatCode="[=1]&quot;Yes&quot;_);[=0]&quot;No&quot;_);General"/>
    <numFmt numFmtId="169" formatCode="_-* #,##0_-;\(#,##0\)_-;_-* \-_-;_-@_-"/>
    <numFmt numFmtId="170" formatCode="&quot;Yes&quot;;&quot;ERROR&quot;;&quot;No&quot;;&quot;ERROR&quot;"/>
    <numFmt numFmtId="171" formatCode="[=1]&quot;On&quot;;[=0]&quot;Off&quot;;General"/>
    <numFmt numFmtId="172" formatCode="0\A"/>
    <numFmt numFmtId="173" formatCode="0\F"/>
    <numFmt numFmtId="174" formatCode="0.0%;\(0.0%\);\-"/>
    <numFmt numFmtId="175" formatCode="#,##0;\(#,##0\);\-"/>
    <numFmt numFmtId="176" formatCode="0;\(0\);\-"/>
    <numFmt numFmtId="177" formatCode="0.0;\(0.0\);\-"/>
    <numFmt numFmtId="178" formatCode="_(* #,##0_);_(* \(#,##0\);_(* \-??_);_(@_)"/>
    <numFmt numFmtId="179" formatCode="[&gt;0]&quot;✖️&quot;_);[=0]\☑_);General"/>
    <numFmt numFmtId="180" formatCode="0.00\x;\(0.00&quot;x)&quot;;\-"/>
    <numFmt numFmtId="181" formatCode="0.00&quot;x&quot;"/>
    <numFmt numFmtId="182" formatCode="0.0&quot; days&quot;"/>
    <numFmt numFmtId="183" formatCode="0&quot; days&quot;"/>
    <numFmt numFmtId="184" formatCode="@\⁽\¹\⁾"/>
    <numFmt numFmtId="185" formatCode="@\⁽\²\⁾"/>
    <numFmt numFmtId="186" formatCode="&quot;Base Case&quot;"/>
    <numFmt numFmtId="187" formatCode="&quot;Worst Case&quot;"/>
    <numFmt numFmtId="188" formatCode="[=1]&quot;Best Case&quot;;[=2]&quot;Base Case&quot;;&quot;Worst Case&quot;"/>
    <numFmt numFmtId="189" formatCode="&quot;Best Case&quot;"/>
    <numFmt numFmtId="190" formatCode="[=0]&quot;☑&quot;;[Red]&quot;ERROR&quot;"/>
  </numFmts>
  <fonts count="6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rgb="FF63513D"/>
      <name val="Segoe UI"/>
      <family val="2"/>
    </font>
    <font>
      <i/>
      <sz val="8"/>
      <color theme="1"/>
      <name val="Segoe UI"/>
      <family val="2"/>
    </font>
    <font>
      <sz val="11"/>
      <color rgb="FF0070C0"/>
      <name val="Segoe UI"/>
      <family val="2"/>
    </font>
    <font>
      <b/>
      <sz val="9"/>
      <color rgb="FF63513D"/>
      <name val="Segoe UI"/>
      <family val="2"/>
      <charset val="1"/>
    </font>
    <font>
      <b/>
      <sz val="10"/>
      <color rgb="FF63513D"/>
      <name val="Segoe UI"/>
      <family val="2"/>
      <charset val="1"/>
    </font>
    <font>
      <sz val="11"/>
      <color theme="1"/>
      <name val="Segoe UI"/>
      <family val="2"/>
      <charset val="1"/>
    </font>
    <font>
      <sz val="10"/>
      <color rgb="FF000000"/>
      <name val="Segoe UI"/>
      <family val="2"/>
      <charset val="1"/>
    </font>
    <font>
      <b/>
      <sz val="10"/>
      <color theme="1"/>
      <name val="Segoe UI"/>
      <family val="2"/>
      <charset val="1"/>
    </font>
    <font>
      <i/>
      <sz val="10"/>
      <color theme="1"/>
      <name val="Segoe UI"/>
      <family val="2"/>
      <charset val="1"/>
    </font>
    <font>
      <b/>
      <sz val="10"/>
      <color rgb="FF1F4E78"/>
      <name val="Segoe UI"/>
      <family val="2"/>
      <charset val="1"/>
    </font>
    <font>
      <i/>
      <sz val="9"/>
      <color rgb="FF808080"/>
      <name val="Segoe UI"/>
      <family val="2"/>
      <charset val="1"/>
    </font>
    <font>
      <b/>
      <sz val="10"/>
      <name val="Segoe UI"/>
      <family val="2"/>
      <charset val="1"/>
    </font>
    <font>
      <b/>
      <sz val="10"/>
      <color rgb="FF000000"/>
      <name val="Segoe UI"/>
      <family val="2"/>
      <charset val="1"/>
    </font>
    <font>
      <b/>
      <sz val="9"/>
      <color theme="1"/>
      <name val="Segoe UI"/>
      <family val="2"/>
      <charset val="1"/>
    </font>
    <font>
      <sz val="10"/>
      <color theme="1"/>
      <name val="Open Sans"/>
      <family val="2"/>
      <charset val="1"/>
    </font>
    <font>
      <b/>
      <i/>
      <sz val="10"/>
      <name val="Segoe UI"/>
      <family val="2"/>
      <charset val="1"/>
    </font>
    <font>
      <b/>
      <i/>
      <sz val="10"/>
      <color rgb="FF1F4E78"/>
      <name val="Segoe UI"/>
      <family val="2"/>
      <charset val="1"/>
    </font>
    <font>
      <sz val="10"/>
      <color rgb="FF0000FF"/>
      <name val="Segoe UI"/>
      <family val="2"/>
      <charset val="1"/>
    </font>
    <font>
      <sz val="10"/>
      <color theme="1"/>
      <name val="Segoe UI"/>
      <family val="2"/>
      <charset val="1"/>
    </font>
    <font>
      <b/>
      <sz val="11"/>
      <color theme="1"/>
      <name val="Segoe UI"/>
      <family val="2"/>
      <charset val="1"/>
    </font>
    <font>
      <sz val="11"/>
      <name val="Segoe UI"/>
      <family val="2"/>
      <charset val="1"/>
    </font>
    <font>
      <sz val="10"/>
      <name val="Segoe UI"/>
      <family val="2"/>
      <charset val="1"/>
    </font>
    <font>
      <b/>
      <sz val="10"/>
      <color rgb="FF0000FF"/>
      <name val="Segoe UI"/>
      <family val="2"/>
      <charset val="1"/>
    </font>
    <font>
      <b/>
      <sz val="11"/>
      <color rgb="FF63513D"/>
      <name val="Segoe UI"/>
      <family val="2"/>
      <charset val="1"/>
    </font>
    <font>
      <b/>
      <sz val="20"/>
      <color rgb="FF63513D"/>
      <name val="Segoe UI"/>
      <family val="2"/>
      <charset val="1"/>
    </font>
    <font>
      <i/>
      <sz val="9"/>
      <color theme="1"/>
      <name val="Segoe UI"/>
      <family val="2"/>
    </font>
    <font>
      <b/>
      <sz val="14"/>
      <color rgb="FFFFF9E6"/>
      <name val="Segoe UI"/>
      <family val="2"/>
    </font>
    <font>
      <b/>
      <sz val="9"/>
      <color rgb="FF63513D"/>
      <name val="Segoe UI"/>
      <family val="2"/>
    </font>
    <font>
      <b/>
      <sz val="10"/>
      <color rgb="FF63513D"/>
      <name val="Segoe UI"/>
      <family val="2"/>
    </font>
    <font>
      <b/>
      <sz val="20"/>
      <color rgb="FF63513D"/>
      <name val="Segoe UI"/>
      <family val="2"/>
    </font>
    <font>
      <sz val="11"/>
      <color theme="1"/>
      <name val="Calibri"/>
      <family val="2"/>
      <charset val="1"/>
    </font>
    <font>
      <b/>
      <sz val="8"/>
      <color rgb="FF8A8178"/>
      <name val="Segoe UI"/>
      <family val="2"/>
    </font>
    <font>
      <sz val="9"/>
      <color rgb="FF3E3A36"/>
      <name val="Segoe UI"/>
      <family val="2"/>
    </font>
    <font>
      <sz val="10"/>
      <color theme="1"/>
      <name val="Segoe UI"/>
      <family val="2"/>
    </font>
    <font>
      <sz val="10"/>
      <color theme="1"/>
      <name val="Open Sans"/>
      <family val="2"/>
    </font>
    <font>
      <sz val="11"/>
      <color theme="1"/>
      <name val="Open Sans"/>
      <family val="2"/>
    </font>
    <font>
      <sz val="11"/>
      <color theme="4"/>
      <name val="Segoe UI"/>
      <family val="2"/>
    </font>
    <font>
      <sz val="11"/>
      <color rgb="FFFFFFFF"/>
      <name val="Segoe UI"/>
      <family val="2"/>
    </font>
    <font>
      <sz val="11"/>
      <color rgb="FF63513D"/>
      <name val="Segoe UI"/>
      <family val="2"/>
    </font>
    <font>
      <sz val="11"/>
      <color theme="4" tint="-0.249977111117893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name val="Segoe UI"/>
      <family val="2"/>
    </font>
    <font>
      <b/>
      <vertAlign val="superscript"/>
      <sz val="10"/>
      <name val="Segoe UI"/>
      <family val="2"/>
    </font>
    <font>
      <sz val="10"/>
      <name val="Segoe UI"/>
      <family val="2"/>
    </font>
    <font>
      <vertAlign val="superscript"/>
      <sz val="9"/>
      <name val="Segoe UI"/>
      <family val="2"/>
    </font>
    <font>
      <sz val="9"/>
      <name val="Segoe UI"/>
      <family val="2"/>
    </font>
    <font>
      <i/>
      <sz val="11"/>
      <color theme="1"/>
      <name val="Segoe UI"/>
      <family val="2"/>
    </font>
    <font>
      <i/>
      <sz val="10"/>
      <color theme="1"/>
      <name val="Segoe UI"/>
      <family val="2"/>
    </font>
    <font>
      <b/>
      <sz val="9"/>
      <color theme="1"/>
      <name val="Segoe UI"/>
      <family val="2"/>
    </font>
    <font>
      <b/>
      <i/>
      <sz val="9"/>
      <color rgb="FF63513D"/>
      <name val="Segoe UI"/>
      <family val="2"/>
    </font>
    <font>
      <b/>
      <sz val="11"/>
      <color rgb="FFFFF9E6"/>
      <name val="Segoe UI"/>
      <family val="2"/>
    </font>
    <font>
      <b/>
      <sz val="11"/>
      <name val="Segoe UI"/>
      <family val="2"/>
    </font>
    <font>
      <sz val="11"/>
      <name val="Segoe UI"/>
      <family val="2"/>
    </font>
    <font>
      <sz val="9"/>
      <color rgb="FF63513D"/>
      <name val="Segoe UI"/>
      <family val="2"/>
      <charset val="1"/>
    </font>
    <font>
      <b/>
      <sz val="10"/>
      <name val="Open Sans"/>
      <family val="2"/>
    </font>
    <font>
      <b/>
      <sz val="10"/>
      <color theme="1"/>
      <name val="Segoe UI"/>
      <family val="2"/>
    </font>
    <font>
      <sz val="11"/>
      <color rgb="FF0070C0"/>
      <name val="Segoe UI"/>
      <family val="2"/>
      <charset val="1"/>
    </font>
    <font>
      <u/>
      <sz val="11"/>
      <color rgb="FF0070C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Segoe UI"/>
      <family val="2"/>
      <charset val="1"/>
    </font>
    <font>
      <i/>
      <sz val="9"/>
      <color theme="1"/>
      <name val="Segoe U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63513D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9E6"/>
        <bgColor rgb="FFF6F6F6"/>
      </patternFill>
    </fill>
    <fill>
      <patternFill patternType="solid">
        <fgColor rgb="FFF6F6F6"/>
        <bgColor rgb="FFF2F2F2"/>
      </patternFill>
    </fill>
    <fill>
      <patternFill patternType="solid">
        <fgColor rgb="FF63513D"/>
        <bgColor rgb="FF666666"/>
      </patternFill>
    </fill>
    <fill>
      <patternFill patternType="solid">
        <fgColor rgb="FFF6F6F6"/>
        <bgColor rgb="FF000000"/>
      </patternFill>
    </fill>
    <fill>
      <patternFill patternType="solid">
        <fgColor rgb="FFFFF9E6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FBFBF"/>
      </top>
      <bottom style="thick">
        <color rgb="FFBFBFBF"/>
      </bottom>
      <diagonal/>
    </border>
    <border>
      <left/>
      <right/>
      <top style="thin">
        <color rgb="FFBFBFBF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D9C9B0"/>
      </left>
      <right/>
      <top/>
      <bottom/>
      <diagonal/>
    </border>
    <border>
      <left/>
      <right style="thin">
        <color rgb="FFD9C9B0"/>
      </right>
      <top/>
      <bottom/>
      <diagonal/>
    </border>
    <border>
      <left style="thin">
        <color rgb="FFD9C9B0"/>
      </left>
      <right/>
      <top style="medium">
        <color rgb="FF63513D"/>
      </top>
      <bottom/>
      <diagonal/>
    </border>
    <border>
      <left/>
      <right style="thin">
        <color rgb="FFD9C9B0"/>
      </right>
      <top style="medium">
        <color rgb="FF63513D"/>
      </top>
      <bottom/>
      <diagonal/>
    </border>
    <border>
      <left style="thin">
        <color rgb="FFD9C9B0"/>
      </left>
      <right/>
      <top/>
      <bottom style="thin">
        <color rgb="FFD9C9B0"/>
      </bottom>
      <diagonal/>
    </border>
    <border>
      <left/>
      <right style="thin">
        <color rgb="FFD9C9B0"/>
      </right>
      <top/>
      <bottom style="thin">
        <color rgb="FFD9C9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63513D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4" fillId="0" borderId="0"/>
    <xf numFmtId="0" fontId="1" fillId="0" borderId="0"/>
    <xf numFmtId="0" fontId="44" fillId="0" borderId="0" applyNumberFormat="0" applyFill="0" applyBorder="0" applyAlignment="0" applyProtection="0"/>
    <xf numFmtId="0" fontId="1" fillId="0" borderId="0"/>
  </cellStyleXfs>
  <cellXfs count="298">
    <xf numFmtId="0" fontId="0" fillId="0" borderId="0" xfId="0"/>
    <xf numFmtId="0" fontId="2" fillId="0" borderId="0" xfId="0" applyFont="1" applyProtection="1"/>
    <xf numFmtId="0" fontId="2" fillId="2" borderId="0" xfId="0" applyFont="1" applyFill="1" applyProtection="1"/>
    <xf numFmtId="0" fontId="4" fillId="3" borderId="0" xfId="0" applyFont="1" applyFill="1" applyProtection="1"/>
    <xf numFmtId="0" fontId="4" fillId="3" borderId="0" xfId="0" applyFont="1" applyFill="1" applyAlignment="1" applyProtection="1">
      <alignment horizontal="left"/>
    </xf>
    <xf numFmtId="166" fontId="4" fillId="3" borderId="0" xfId="0" applyNumberFormat="1" applyFont="1" applyFill="1" applyProtection="1"/>
    <xf numFmtId="167" fontId="4" fillId="3" borderId="0" xfId="0" applyNumberFormat="1" applyFont="1" applyFill="1" applyProtection="1"/>
    <xf numFmtId="169" fontId="9" fillId="0" borderId="0" xfId="0" applyNumberFormat="1" applyFont="1" applyAlignment="1" applyProtection="1"/>
    <xf numFmtId="37" fontId="7" fillId="5" borderId="0" xfId="0" applyNumberFormat="1" applyFont="1" applyFill="1" applyAlignment="1" applyProtection="1">
      <alignment vertical="center"/>
    </xf>
    <xf numFmtId="37" fontId="8" fillId="5" borderId="0" xfId="0" applyNumberFormat="1" applyFont="1" applyFill="1" applyAlignment="1" applyProtection="1">
      <alignment vertical="center"/>
    </xf>
    <xf numFmtId="172" fontId="8" fillId="5" borderId="0" xfId="0" applyNumberFormat="1" applyFont="1" applyFill="1" applyAlignment="1" applyProtection="1">
      <alignment horizontal="right"/>
    </xf>
    <xf numFmtId="173" fontId="8" fillId="5" borderId="0" xfId="0" applyNumberFormat="1" applyFont="1" applyFill="1" applyAlignment="1" applyProtection="1">
      <alignment horizontal="right"/>
    </xf>
    <xf numFmtId="169" fontId="51" fillId="0" borderId="0" xfId="0" applyNumberFormat="1" applyFont="1" applyAlignment="1" applyProtection="1"/>
    <xf numFmtId="166" fontId="4" fillId="0" borderId="34" xfId="0" applyNumberFormat="1" applyFont="1" applyFill="1" applyBorder="1" applyProtection="1"/>
    <xf numFmtId="167" fontId="4" fillId="0" borderId="34" xfId="0" applyNumberFormat="1" applyFont="1" applyFill="1" applyBorder="1" applyProtection="1"/>
    <xf numFmtId="0" fontId="9" fillId="0" borderId="0" xfId="0" applyFont="1" applyAlignment="1" applyProtection="1"/>
    <xf numFmtId="0" fontId="10" fillId="0" borderId="0" xfId="0" applyFont="1" applyAlignment="1" applyProtection="1">
      <alignment indent="1"/>
    </xf>
    <xf numFmtId="174" fontId="21" fillId="0" borderId="0" xfId="0" applyNumberFormat="1" applyFont="1" applyAlignment="1" applyProtection="1"/>
    <xf numFmtId="174" fontId="22" fillId="0" borderId="0" xfId="0" applyNumberFormat="1" applyFont="1" applyAlignment="1" applyProtection="1"/>
    <xf numFmtId="0" fontId="9" fillId="0" borderId="5" xfId="0" applyFont="1" applyBorder="1" applyAlignment="1" applyProtection="1"/>
    <xf numFmtId="175" fontId="10" fillId="0" borderId="10" xfId="0" applyNumberFormat="1" applyFont="1" applyBorder="1" applyAlignment="1" applyProtection="1"/>
    <xf numFmtId="175" fontId="10" fillId="0" borderId="0" xfId="0" applyNumberFormat="1" applyFont="1" applyAlignment="1" applyProtection="1"/>
    <xf numFmtId="175" fontId="10" fillId="0" borderId="11" xfId="0" applyNumberFormat="1" applyFont="1" applyBorder="1" applyAlignment="1" applyProtection="1"/>
    <xf numFmtId="175" fontId="10" fillId="0" borderId="12" xfId="0" applyNumberFormat="1" applyFont="1" applyBorder="1" applyAlignment="1" applyProtection="1"/>
    <xf numFmtId="175" fontId="10" fillId="0" borderId="5" xfId="0" applyNumberFormat="1" applyFont="1" applyBorder="1" applyAlignment="1" applyProtection="1"/>
    <xf numFmtId="175" fontId="10" fillId="0" borderId="13" xfId="0" applyNumberFormat="1" applyFont="1" applyBorder="1" applyAlignment="1" applyProtection="1"/>
    <xf numFmtId="0" fontId="11" fillId="0" borderId="0" xfId="0" applyFont="1" applyAlignment="1" applyProtection="1"/>
    <xf numFmtId="0" fontId="12" fillId="0" borderId="0" xfId="0" applyFont="1" applyAlignment="1" applyProtection="1"/>
    <xf numFmtId="177" fontId="10" fillId="0" borderId="0" xfId="0" applyNumberFormat="1" applyFont="1" applyAlignment="1" applyProtection="1"/>
    <xf numFmtId="177" fontId="22" fillId="0" borderId="0" xfId="0" applyNumberFormat="1" applyFont="1" applyAlignment="1" applyProtection="1"/>
    <xf numFmtId="0" fontId="10" fillId="0" borderId="5" xfId="0" applyFont="1" applyBorder="1" applyAlignment="1" applyProtection="1">
      <alignment indent="1"/>
    </xf>
    <xf numFmtId="175" fontId="21" fillId="0" borderId="5" xfId="0" applyNumberFormat="1" applyFont="1" applyBorder="1" applyAlignment="1" applyProtection="1"/>
    <xf numFmtId="0" fontId="14" fillId="0" borderId="0" xfId="0" applyFont="1" applyAlignment="1" applyProtection="1"/>
    <xf numFmtId="175" fontId="10" fillId="0" borderId="16" xfId="0" applyNumberFormat="1" applyFont="1" applyBorder="1" applyAlignment="1" applyProtection="1"/>
    <xf numFmtId="0" fontId="13" fillId="0" borderId="0" xfId="0" applyFont="1" applyAlignment="1" applyProtection="1"/>
    <xf numFmtId="174" fontId="22" fillId="0" borderId="8" xfId="0" applyNumberFormat="1" applyFont="1" applyBorder="1" applyAlignment="1" applyProtection="1"/>
    <xf numFmtId="174" fontId="22" fillId="0" borderId="9" xfId="0" applyNumberFormat="1" applyFont="1" applyBorder="1" applyAlignment="1" applyProtection="1"/>
    <xf numFmtId="178" fontId="21" fillId="0" borderId="0" xfId="0" applyNumberFormat="1" applyFont="1" applyAlignment="1" applyProtection="1"/>
    <xf numFmtId="0" fontId="14" fillId="0" borderId="5" xfId="0" applyFont="1" applyBorder="1" applyAlignment="1" applyProtection="1"/>
    <xf numFmtId="175" fontId="13" fillId="0" borderId="0" xfId="0" applyNumberFormat="1" applyFont="1" applyAlignment="1" applyProtection="1"/>
    <xf numFmtId="175" fontId="9" fillId="0" borderId="0" xfId="0" applyNumberFormat="1" applyFont="1" applyAlignment="1" applyProtection="1"/>
    <xf numFmtId="0" fontId="14" fillId="0" borderId="0" xfId="0" applyFont="1" applyAlignment="1" applyProtection="1">
      <alignment vertical="top"/>
    </xf>
    <xf numFmtId="0" fontId="10" fillId="0" borderId="7" xfId="0" applyFont="1" applyBorder="1" applyAlignment="1" applyProtection="1">
      <alignment indent="1"/>
    </xf>
    <xf numFmtId="9" fontId="9" fillId="0" borderId="9" xfId="0" applyNumberFormat="1" applyFont="1" applyBorder="1" applyAlignment="1" applyProtection="1"/>
    <xf numFmtId="9" fontId="9" fillId="0" borderId="0" xfId="0" applyNumberFormat="1" applyFont="1" applyAlignment="1" applyProtection="1"/>
    <xf numFmtId="0" fontId="10" fillId="0" borderId="12" xfId="0" applyFont="1" applyBorder="1" applyAlignment="1" applyProtection="1">
      <alignment indent="1"/>
    </xf>
    <xf numFmtId="9" fontId="9" fillId="0" borderId="13" xfId="0" applyNumberFormat="1" applyFont="1" applyBorder="1" applyAlignment="1" applyProtection="1"/>
    <xf numFmtId="175" fontId="10" fillId="0" borderId="7" xfId="0" applyNumberFormat="1" applyFont="1" applyBorder="1" applyAlignment="1" applyProtection="1"/>
    <xf numFmtId="175" fontId="10" fillId="0" borderId="8" xfId="0" applyNumberFormat="1" applyFont="1" applyBorder="1" applyAlignment="1" applyProtection="1"/>
    <xf numFmtId="175" fontId="10" fillId="0" borderId="9" xfId="0" applyNumberFormat="1" applyFont="1" applyBorder="1" applyAlignment="1" applyProtection="1"/>
    <xf numFmtId="168" fontId="10" fillId="0" borderId="12" xfId="0" applyNumberFormat="1" applyFont="1" applyBorder="1" applyAlignment="1" applyProtection="1"/>
    <xf numFmtId="168" fontId="10" fillId="0" borderId="5" xfId="0" applyNumberFormat="1" applyFont="1" applyBorder="1" applyAlignment="1" applyProtection="1"/>
    <xf numFmtId="168" fontId="10" fillId="0" borderId="13" xfId="0" applyNumberFormat="1" applyFont="1" applyBorder="1" applyAlignment="1" applyProtection="1"/>
    <xf numFmtId="170" fontId="9" fillId="0" borderId="13" xfId="0" applyNumberFormat="1" applyFont="1" applyBorder="1" applyAlignment="1" applyProtection="1"/>
    <xf numFmtId="170" fontId="9" fillId="0" borderId="0" xfId="0" applyNumberFormat="1" applyFont="1" applyAlignment="1" applyProtection="1"/>
    <xf numFmtId="0" fontId="15" fillId="0" borderId="0" xfId="0" applyFont="1" applyAlignment="1" applyProtection="1"/>
    <xf numFmtId="49" fontId="45" fillId="0" borderId="0" xfId="0" applyNumberFormat="1" applyFont="1" applyAlignment="1" applyProtection="1">
      <alignment horizontal="left"/>
    </xf>
    <xf numFmtId="49" fontId="47" fillId="0" borderId="0" xfId="0" applyNumberFormat="1" applyFont="1" applyAlignment="1" applyProtection="1">
      <alignment horizontal="left" indent="1"/>
    </xf>
    <xf numFmtId="184" fontId="49" fillId="0" borderId="0" xfId="0" quotePrefix="1" applyNumberFormat="1" applyFont="1" applyAlignment="1" applyProtection="1">
      <alignment horizontal="right"/>
    </xf>
    <xf numFmtId="185" fontId="49" fillId="0" borderId="0" xfId="0" quotePrefix="1" applyNumberFormat="1" applyFont="1" applyAlignment="1" applyProtection="1">
      <alignment horizontal="right"/>
    </xf>
    <xf numFmtId="174" fontId="9" fillId="0" borderId="0" xfId="0" applyNumberFormat="1" applyFont="1" applyAlignment="1" applyProtection="1"/>
    <xf numFmtId="0" fontId="16" fillId="0" borderId="0" xfId="0" applyFont="1" applyAlignment="1" applyProtection="1">
      <alignment indent="1"/>
    </xf>
    <xf numFmtId="0" fontId="17" fillId="0" borderId="0" xfId="0" applyFont="1" applyAlignment="1" applyProtection="1"/>
    <xf numFmtId="174" fontId="25" fillId="0" borderId="0" xfId="0" applyNumberFormat="1" applyFont="1" applyAlignment="1" applyProtection="1"/>
    <xf numFmtId="175" fontId="10" fillId="0" borderId="17" xfId="0" applyNumberFormat="1" applyFont="1" applyBorder="1" applyAlignment="1" applyProtection="1"/>
    <xf numFmtId="175" fontId="16" fillId="0" borderId="17" xfId="0" applyNumberFormat="1" applyFont="1" applyBorder="1" applyAlignment="1" applyProtection="1"/>
    <xf numFmtId="0" fontId="19" fillId="0" borderId="0" xfId="0" applyFont="1" applyAlignment="1" applyProtection="1"/>
    <xf numFmtId="0" fontId="20" fillId="0" borderId="0" xfId="0" applyFont="1" applyAlignment="1" applyProtection="1"/>
    <xf numFmtId="0" fontId="8" fillId="0" borderId="0" xfId="0" applyFont="1" applyAlignment="1" applyProtection="1">
      <alignment indent="1"/>
    </xf>
    <xf numFmtId="0" fontId="29" fillId="0" borderId="0" xfId="0" applyFont="1" applyProtection="1"/>
    <xf numFmtId="0" fontId="50" fillId="0" borderId="0" xfId="0" applyFont="1" applyProtection="1"/>
    <xf numFmtId="167" fontId="3" fillId="0" borderId="34" xfId="0" applyNumberFormat="1" applyFont="1" applyBorder="1" applyProtection="1"/>
    <xf numFmtId="0" fontId="3" fillId="0" borderId="0" xfId="0" applyFont="1" applyProtection="1"/>
    <xf numFmtId="0" fontId="2" fillId="0" borderId="5" xfId="0" applyFont="1" applyBorder="1" applyProtection="1"/>
    <xf numFmtId="0" fontId="2" fillId="0" borderId="7" xfId="0" applyFont="1" applyBorder="1" applyProtection="1"/>
    <xf numFmtId="0" fontId="2" fillId="0" borderId="8" xfId="0" applyFont="1" applyBorder="1" applyProtection="1"/>
    <xf numFmtId="0" fontId="2" fillId="0" borderId="12" xfId="0" applyFont="1" applyBorder="1" applyProtection="1"/>
    <xf numFmtId="0" fontId="3" fillId="0" borderId="14" xfId="0" applyFont="1" applyBorder="1" applyProtection="1"/>
    <xf numFmtId="0" fontId="2" fillId="0" borderId="14" xfId="0" applyFont="1" applyBorder="1" applyProtection="1"/>
    <xf numFmtId="0" fontId="5" fillId="0" borderId="0" xfId="0" applyFont="1" applyProtection="1"/>
    <xf numFmtId="164" fontId="2" fillId="0" borderId="0" xfId="2" applyNumberFormat="1" applyFont="1" applyProtection="1"/>
    <xf numFmtId="0" fontId="27" fillId="5" borderId="0" xfId="0" applyFont="1" applyFill="1" applyAlignment="1" applyProtection="1"/>
    <xf numFmtId="0" fontId="9" fillId="5" borderId="0" xfId="0" applyFont="1" applyFill="1" applyAlignment="1" applyProtection="1"/>
    <xf numFmtId="0" fontId="0" fillId="0" borderId="0" xfId="0" applyProtection="1"/>
    <xf numFmtId="0" fontId="22" fillId="0" borderId="0" xfId="0" applyFont="1" applyAlignment="1" applyProtection="1"/>
    <xf numFmtId="178" fontId="22" fillId="0" borderId="0" xfId="0" applyNumberFormat="1" applyFont="1" applyAlignment="1" applyProtection="1"/>
    <xf numFmtId="178" fontId="22" fillId="0" borderId="4" xfId="0" applyNumberFormat="1" applyFont="1" applyBorder="1" applyAlignment="1" applyProtection="1"/>
    <xf numFmtId="0" fontId="11" fillId="0" borderId="0" xfId="0" applyFont="1" applyAlignment="1" applyProtection="1">
      <alignment horizontal="left" indent="1"/>
    </xf>
    <xf numFmtId="178" fontId="11" fillId="0" borderId="0" xfId="0" applyNumberFormat="1" applyFont="1" applyAlignment="1" applyProtection="1"/>
    <xf numFmtId="0" fontId="9" fillId="0" borderId="0" xfId="0" applyFont="1" applyAlignment="1" applyProtection="1">
      <alignment horizontal="left" indent="1"/>
    </xf>
    <xf numFmtId="178" fontId="9" fillId="0" borderId="0" xfId="0" applyNumberFormat="1" applyFont="1" applyAlignment="1" applyProtection="1"/>
    <xf numFmtId="178" fontId="9" fillId="0" borderId="5" xfId="0" applyNumberFormat="1" applyFont="1" applyBorder="1" applyAlignment="1" applyProtection="1"/>
    <xf numFmtId="0" fontId="23" fillId="0" borderId="0" xfId="0" applyFont="1" applyAlignment="1" applyProtection="1">
      <alignment horizontal="left" indent="2"/>
    </xf>
    <xf numFmtId="178" fontId="23" fillId="0" borderId="0" xfId="0" applyNumberFormat="1" applyFont="1" applyAlignment="1" applyProtection="1"/>
    <xf numFmtId="0" fontId="23" fillId="0" borderId="0" xfId="0" applyFont="1" applyAlignment="1" applyProtection="1">
      <alignment horizontal="left" indent="1"/>
    </xf>
    <xf numFmtId="0" fontId="9" fillId="0" borderId="0" xfId="0" applyFont="1" applyAlignment="1" applyProtection="1">
      <alignment horizontal="left"/>
    </xf>
    <xf numFmtId="0" fontId="9" fillId="0" borderId="5" xfId="0" applyFont="1" applyBorder="1" applyAlignment="1" applyProtection="1">
      <alignment horizontal="left" indent="1"/>
    </xf>
    <xf numFmtId="164" fontId="9" fillId="0" borderId="0" xfId="0" applyNumberFormat="1" applyFont="1" applyAlignment="1" applyProtection="1"/>
    <xf numFmtId="179" fontId="9" fillId="0" borderId="0" xfId="0" applyNumberFormat="1" applyFont="1" applyAlignment="1" applyProtection="1"/>
    <xf numFmtId="164" fontId="9" fillId="0" borderId="5" xfId="0" applyNumberFormat="1" applyFont="1" applyBorder="1" applyAlignment="1" applyProtection="1"/>
    <xf numFmtId="180" fontId="9" fillId="0" borderId="0" xfId="0" applyNumberFormat="1" applyFont="1" applyAlignment="1" applyProtection="1"/>
    <xf numFmtId="176" fontId="9" fillId="0" borderId="0" xfId="0" applyNumberFormat="1" applyFont="1" applyAlignment="1" applyProtection="1"/>
    <xf numFmtId="0" fontId="9" fillId="0" borderId="0" xfId="0" applyFont="1" applyAlignment="1" applyProtection="1">
      <alignment horizontal="right"/>
    </xf>
    <xf numFmtId="180" fontId="9" fillId="0" borderId="0" xfId="0" applyNumberFormat="1" applyFont="1" applyAlignment="1" applyProtection="1">
      <alignment horizontal="right"/>
    </xf>
    <xf numFmtId="0" fontId="30" fillId="2" borderId="0" xfId="0" applyFont="1" applyFill="1" applyAlignment="1" applyProtection="1">
      <alignment horizontal="right" vertical="center"/>
    </xf>
    <xf numFmtId="167" fontId="4" fillId="3" borderId="0" xfId="0" applyNumberFormat="1" applyFont="1" applyFill="1" applyAlignment="1" applyProtection="1">
      <alignment horizontal="right"/>
    </xf>
    <xf numFmtId="37" fontId="31" fillId="5" borderId="0" xfId="0" applyNumberFormat="1" applyFont="1" applyFill="1" applyAlignment="1" applyProtection="1">
      <alignment vertical="center"/>
    </xf>
    <xf numFmtId="37" fontId="32" fillId="5" borderId="0" xfId="0" applyNumberFormat="1" applyFont="1" applyFill="1" applyAlignment="1" applyProtection="1">
      <alignment vertical="center"/>
    </xf>
    <xf numFmtId="172" fontId="32" fillId="5" borderId="0" xfId="0" applyNumberFormat="1" applyFont="1" applyFill="1" applyAlignment="1" applyProtection="1">
      <alignment horizontal="right"/>
    </xf>
    <xf numFmtId="173" fontId="32" fillId="5" borderId="0" xfId="0" applyNumberFormat="1" applyFont="1" applyFill="1" applyAlignment="1" applyProtection="1">
      <alignment horizontal="right"/>
    </xf>
    <xf numFmtId="0" fontId="35" fillId="0" borderId="28" xfId="4" applyNumberFormat="1" applyFont="1" applyFill="1" applyBorder="1" applyAlignment="1" applyProtection="1">
      <alignment horizontal="centerContinuous" vertical="center"/>
    </xf>
    <xf numFmtId="0" fontId="35" fillId="0" borderId="29" xfId="4" applyNumberFormat="1" applyFont="1" applyFill="1" applyBorder="1" applyAlignment="1" applyProtection="1">
      <alignment horizontal="centerContinuous" vertical="center"/>
    </xf>
    <xf numFmtId="175" fontId="33" fillId="0" borderId="26" xfId="4" applyNumberFormat="1" applyFont="1" applyFill="1" applyBorder="1" applyAlignment="1" applyProtection="1">
      <alignment horizontal="centerContinuous" vertical="center"/>
    </xf>
    <xf numFmtId="175" fontId="33" fillId="0" borderId="27" xfId="4" applyNumberFormat="1" applyFont="1" applyFill="1" applyBorder="1" applyAlignment="1" applyProtection="1">
      <alignment horizontal="centerContinuous" vertical="center"/>
    </xf>
    <xf numFmtId="164" fontId="33" fillId="0" borderId="26" xfId="4" applyNumberFormat="1" applyFont="1" applyFill="1" applyBorder="1" applyAlignment="1" applyProtection="1">
      <alignment horizontal="centerContinuous" vertical="center"/>
    </xf>
    <xf numFmtId="164" fontId="33" fillId="0" borderId="27" xfId="4" applyNumberFormat="1" applyFont="1" applyFill="1" applyBorder="1" applyAlignment="1" applyProtection="1">
      <alignment horizontal="centerContinuous" vertical="center"/>
    </xf>
    <xf numFmtId="181" fontId="33" fillId="0" borderId="26" xfId="4" applyNumberFormat="1" applyFont="1" applyFill="1" applyBorder="1" applyAlignment="1" applyProtection="1">
      <alignment horizontal="centerContinuous" vertical="center"/>
    </xf>
    <xf numFmtId="181" fontId="33" fillId="0" borderId="27" xfId="4" applyNumberFormat="1" applyFont="1" applyFill="1" applyBorder="1" applyAlignment="1" applyProtection="1">
      <alignment horizontal="centerContinuous" vertical="center"/>
    </xf>
    <xf numFmtId="183" fontId="33" fillId="0" borderId="26" xfId="4" applyNumberFormat="1" applyFont="1" applyFill="1" applyBorder="1" applyAlignment="1" applyProtection="1">
      <alignment horizontal="centerContinuous" vertical="center"/>
    </xf>
    <xf numFmtId="182" fontId="33" fillId="0" borderId="27" xfId="4" applyNumberFormat="1" applyFont="1" applyFill="1" applyBorder="1" applyAlignment="1" applyProtection="1">
      <alignment horizontal="centerContinuous" vertical="center"/>
    </xf>
    <xf numFmtId="0" fontId="36" fillId="0" borderId="30" xfId="4" applyNumberFormat="1" applyFont="1" applyFill="1" applyBorder="1" applyAlignment="1" applyProtection="1">
      <alignment horizontal="centerContinuous" vertical="center"/>
    </xf>
    <xf numFmtId="0" fontId="36" fillId="0" borderId="31" xfId="4" applyNumberFormat="1" applyFont="1" applyFill="1" applyBorder="1" applyAlignment="1" applyProtection="1">
      <alignment horizontal="centerContinuous" vertical="center"/>
    </xf>
    <xf numFmtId="37" fontId="31" fillId="5" borderId="0" xfId="0" applyNumberFormat="1" applyFont="1" applyFill="1" applyAlignment="1" applyProtection="1">
      <alignment horizontal="centerContinuous" vertical="center"/>
    </xf>
    <xf numFmtId="37" fontId="32" fillId="5" borderId="0" xfId="0" applyNumberFormat="1" applyFont="1" applyFill="1" applyAlignment="1" applyProtection="1">
      <alignment horizontal="centerContinuous" vertical="center"/>
    </xf>
    <xf numFmtId="172" fontId="32" fillId="5" borderId="0" xfId="0" applyNumberFormat="1" applyFont="1" applyFill="1" applyAlignment="1" applyProtection="1">
      <alignment horizontal="centerContinuous"/>
    </xf>
    <xf numFmtId="173" fontId="32" fillId="5" borderId="0" xfId="0" applyNumberFormat="1" applyFont="1" applyFill="1" applyAlignment="1" applyProtection="1">
      <alignment horizontal="centerContinuous"/>
    </xf>
    <xf numFmtId="0" fontId="4" fillId="0" borderId="0" xfId="4" applyNumberFormat="1" applyFont="1" applyFill="1" applyBorder="1" applyProtection="1"/>
    <xf numFmtId="0" fontId="4" fillId="0" borderId="33" xfId="0" applyFont="1" applyBorder="1" applyAlignment="1" applyProtection="1">
      <alignment horizontal="centerContinuous" vertical="center"/>
    </xf>
    <xf numFmtId="0" fontId="42" fillId="0" borderId="33" xfId="0" applyFont="1" applyBorder="1" applyAlignment="1" applyProtection="1">
      <alignment horizontal="centerContinuous" vertical="center"/>
    </xf>
    <xf numFmtId="0" fontId="37" fillId="0" borderId="0" xfId="0" applyFont="1" applyAlignment="1" applyProtection="1">
      <alignment horizontal="centerContinuous" vertical="center"/>
    </xf>
    <xf numFmtId="0" fontId="39" fillId="0" borderId="0" xfId="0" applyFont="1" applyAlignment="1" applyProtection="1">
      <alignment horizontal="centerContinuous"/>
    </xf>
    <xf numFmtId="165" fontId="41" fillId="0" borderId="0" xfId="0" applyNumberFormat="1" applyFont="1" applyProtection="1"/>
    <xf numFmtId="164" fontId="2" fillId="0" borderId="0" xfId="0" applyNumberFormat="1" applyFont="1" applyProtection="1"/>
    <xf numFmtId="165" fontId="2" fillId="0" borderId="0" xfId="0" applyNumberFormat="1" applyFont="1" applyProtection="1"/>
    <xf numFmtId="165" fontId="2" fillId="0" borderId="0" xfId="1" applyNumberFormat="1" applyFont="1" applyProtection="1"/>
    <xf numFmtId="165" fontId="2" fillId="0" borderId="7" xfId="1" applyNumberFormat="1" applyFont="1" applyBorder="1" applyProtection="1"/>
    <xf numFmtId="165" fontId="2" fillId="0" borderId="8" xfId="1" applyNumberFormat="1" applyFont="1" applyBorder="1" applyProtection="1"/>
    <xf numFmtId="165" fontId="2" fillId="0" borderId="9" xfId="1" applyNumberFormat="1" applyFont="1" applyBorder="1" applyProtection="1"/>
    <xf numFmtId="165" fontId="2" fillId="0" borderId="10" xfId="1" applyNumberFormat="1" applyFont="1" applyBorder="1" applyProtection="1"/>
    <xf numFmtId="165" fontId="2" fillId="0" borderId="0" xfId="1" applyNumberFormat="1" applyFont="1" applyBorder="1" applyProtection="1"/>
    <xf numFmtId="165" fontId="2" fillId="0" borderId="11" xfId="1" applyNumberFormat="1" applyFont="1" applyBorder="1" applyProtection="1"/>
    <xf numFmtId="165" fontId="3" fillId="3" borderId="32" xfId="1" applyNumberFormat="1" applyFont="1" applyFill="1" applyBorder="1" applyProtection="1"/>
    <xf numFmtId="0" fontId="38" fillId="0" borderId="0" xfId="0" applyFont="1" applyAlignment="1" applyProtection="1">
      <alignment horizontal="center" vertical="center" textRotation="90"/>
    </xf>
    <xf numFmtId="165" fontId="2" fillId="0" borderId="12" xfId="1" applyNumberFormat="1" applyFont="1" applyBorder="1" applyProtection="1"/>
    <xf numFmtId="165" fontId="2" fillId="0" borderId="5" xfId="1" applyNumberFormat="1" applyFont="1" applyBorder="1" applyProtection="1"/>
    <xf numFmtId="165" fontId="2" fillId="0" borderId="13" xfId="1" applyNumberFormat="1" applyFont="1" applyBorder="1" applyProtection="1"/>
    <xf numFmtId="173" fontId="32" fillId="5" borderId="7" xfId="0" applyNumberFormat="1" applyFont="1" applyFill="1" applyBorder="1" applyAlignment="1" applyProtection="1">
      <alignment horizontal="center"/>
    </xf>
    <xf numFmtId="173" fontId="32" fillId="5" borderId="9" xfId="0" applyNumberFormat="1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left" indent="1"/>
    </xf>
    <xf numFmtId="167" fontId="3" fillId="0" borderId="10" xfId="0" applyNumberFormat="1" applyFont="1" applyBorder="1" applyAlignment="1" applyProtection="1">
      <alignment horizontal="left" indent="1"/>
    </xf>
    <xf numFmtId="167" fontId="3" fillId="0" borderId="11" xfId="0" applyNumberFormat="1" applyFont="1" applyBorder="1" applyAlignment="1" applyProtection="1">
      <alignment horizontal="left" indent="1"/>
    </xf>
    <xf numFmtId="164" fontId="2" fillId="0" borderId="10" xfId="2" applyNumberFormat="1" applyFont="1" applyBorder="1" applyProtection="1"/>
    <xf numFmtId="164" fontId="2" fillId="0" borderId="11" xfId="2" applyNumberFormat="1" applyFont="1" applyBorder="1" applyProtection="1"/>
    <xf numFmtId="181" fontId="2" fillId="0" borderId="0" xfId="1" applyNumberFormat="1" applyFont="1" applyProtection="1"/>
    <xf numFmtId="181" fontId="2" fillId="0" borderId="10" xfId="1" applyNumberFormat="1" applyFont="1" applyBorder="1" applyProtection="1"/>
    <xf numFmtId="181" fontId="2" fillId="0" borderId="11" xfId="1" applyNumberFormat="1" applyFont="1" applyBorder="1" applyProtection="1"/>
    <xf numFmtId="0" fontId="2" fillId="0" borderId="10" xfId="0" applyFont="1" applyBorder="1" applyProtection="1"/>
    <xf numFmtId="0" fontId="2" fillId="0" borderId="11" xfId="0" applyFont="1" applyBorder="1" applyProtection="1"/>
    <xf numFmtId="0" fontId="9" fillId="7" borderId="18" xfId="0" applyFont="1" applyFill="1" applyBorder="1" applyAlignment="1" applyProtection="1"/>
    <xf numFmtId="0" fontId="9" fillId="7" borderId="19" xfId="0" applyFont="1" applyFill="1" applyBorder="1" applyAlignment="1" applyProtection="1"/>
    <xf numFmtId="0" fontId="9" fillId="7" borderId="20" xfId="0" applyFont="1" applyFill="1" applyBorder="1" applyAlignment="1" applyProtection="1">
      <alignment horizontal="right"/>
    </xf>
    <xf numFmtId="0" fontId="9" fillId="0" borderId="21" xfId="0" applyFont="1" applyBorder="1" applyAlignment="1" applyProtection="1"/>
    <xf numFmtId="0" fontId="9" fillId="0" borderId="22" xfId="0" applyFont="1" applyBorder="1" applyAlignment="1" applyProtection="1"/>
    <xf numFmtId="0" fontId="28" fillId="0" borderId="0" xfId="0" applyFont="1" applyAlignment="1" applyProtection="1"/>
    <xf numFmtId="0" fontId="27" fillId="0" borderId="0" xfId="0" applyFont="1" applyAlignment="1" applyProtection="1">
      <alignment horizontal="right"/>
    </xf>
    <xf numFmtId="0" fontId="11" fillId="0" borderId="15" xfId="0" applyFont="1" applyBorder="1" applyAlignment="1" applyProtection="1"/>
    <xf numFmtId="168" fontId="22" fillId="0" borderId="0" xfId="0" applyNumberFormat="1" applyFont="1" applyAlignment="1" applyProtection="1"/>
    <xf numFmtId="0" fontId="9" fillId="0" borderId="23" xfId="0" applyFont="1" applyBorder="1" applyAlignment="1" applyProtection="1"/>
    <xf numFmtId="0" fontId="9" fillId="0" borderId="24" xfId="0" applyFont="1" applyBorder="1" applyAlignment="1" applyProtection="1"/>
    <xf numFmtId="0" fontId="9" fillId="0" borderId="25" xfId="0" applyFont="1" applyBorder="1" applyAlignment="1" applyProtection="1"/>
    <xf numFmtId="0" fontId="52" fillId="0" borderId="0" xfId="0" applyFont="1" applyProtection="1"/>
    <xf numFmtId="4" fontId="2" fillId="0" borderId="0" xfId="0" applyNumberFormat="1" applyFont="1" applyProtection="1"/>
    <xf numFmtId="0" fontId="4" fillId="3" borderId="0" xfId="0" applyFont="1" applyFill="1" applyAlignment="1" applyProtection="1">
      <alignment horizontal="centerContinuous"/>
    </xf>
    <xf numFmtId="167" fontId="4" fillId="0" borderId="0" xfId="0" applyNumberFormat="1" applyFont="1" applyFill="1" applyAlignment="1" applyProtection="1">
      <alignment horizontal="center" vertical="center"/>
      <protection locked="0"/>
    </xf>
    <xf numFmtId="9" fontId="40" fillId="0" borderId="9" xfId="0" applyNumberFormat="1" applyFont="1" applyBorder="1" applyProtection="1"/>
    <xf numFmtId="43" fontId="40" fillId="0" borderId="9" xfId="1" applyFont="1" applyBorder="1" applyProtection="1"/>
    <xf numFmtId="9" fontId="40" fillId="0" borderId="13" xfId="0" applyNumberFormat="1" applyFont="1" applyBorder="1" applyProtection="1"/>
    <xf numFmtId="43" fontId="40" fillId="0" borderId="13" xfId="1" applyFont="1" applyBorder="1" applyProtection="1"/>
    <xf numFmtId="188" fontId="32" fillId="0" borderId="0" xfId="0" applyNumberFormat="1" applyFont="1" applyFill="1" applyAlignment="1" applyProtection="1">
      <alignment horizontal="center"/>
      <protection locked="0"/>
    </xf>
    <xf numFmtId="0" fontId="29" fillId="0" borderId="5" xfId="0" applyFont="1" applyBorder="1" applyProtection="1"/>
    <xf numFmtId="0" fontId="53" fillId="3" borderId="0" xfId="0" applyFont="1" applyFill="1" applyProtection="1"/>
    <xf numFmtId="0" fontId="2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169" fontId="9" fillId="0" borderId="0" xfId="0" applyNumberFormat="1" applyFont="1" applyAlignment="1" applyProtection="1">
      <protection locked="0"/>
    </xf>
    <xf numFmtId="0" fontId="22" fillId="0" borderId="0" xfId="0" applyFont="1" applyAlignment="1" applyProtection="1">
      <protection locked="0"/>
    </xf>
    <xf numFmtId="0" fontId="0" fillId="0" borderId="0" xfId="0" applyProtection="1">
      <protection locked="0"/>
    </xf>
    <xf numFmtId="166" fontId="54" fillId="3" borderId="0" xfId="0" applyNumberFormat="1" applyFont="1" applyFill="1" applyProtection="1"/>
    <xf numFmtId="167" fontId="54" fillId="3" borderId="0" xfId="0" applyNumberFormat="1" applyFont="1" applyFill="1" applyProtection="1"/>
    <xf numFmtId="0" fontId="55" fillId="0" borderId="0" xfId="0" applyFont="1" applyProtection="1"/>
    <xf numFmtId="188" fontId="55" fillId="0" borderId="6" xfId="0" applyNumberFormat="1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protection locked="0"/>
    </xf>
    <xf numFmtId="0" fontId="24" fillId="0" borderId="0" xfId="0" applyFont="1" applyAlignment="1" applyProtection="1">
      <protection locked="0"/>
    </xf>
    <xf numFmtId="175" fontId="21" fillId="0" borderId="0" xfId="0" applyNumberFormat="1" applyFont="1" applyAlignment="1" applyProtection="1"/>
    <xf numFmtId="164" fontId="6" fillId="4" borderId="7" xfId="2" applyNumberFormat="1" applyFont="1" applyFill="1" applyBorder="1" applyProtection="1">
      <protection locked="0"/>
    </xf>
    <xf numFmtId="164" fontId="6" fillId="4" borderId="8" xfId="2" applyNumberFormat="1" applyFont="1" applyFill="1" applyBorder="1" applyProtection="1">
      <protection locked="0"/>
    </xf>
    <xf numFmtId="164" fontId="6" fillId="4" borderId="9" xfId="2" applyNumberFormat="1" applyFont="1" applyFill="1" applyBorder="1" applyProtection="1">
      <protection locked="0"/>
    </xf>
    <xf numFmtId="164" fontId="6" fillId="4" borderId="10" xfId="2" applyNumberFormat="1" applyFont="1" applyFill="1" applyBorder="1" applyProtection="1">
      <protection locked="0"/>
    </xf>
    <xf numFmtId="164" fontId="6" fillId="4" borderId="0" xfId="2" applyNumberFormat="1" applyFont="1" applyFill="1" applyBorder="1" applyProtection="1">
      <protection locked="0"/>
    </xf>
    <xf numFmtId="164" fontId="6" fillId="4" borderId="11" xfId="2" applyNumberFormat="1" applyFont="1" applyFill="1" applyBorder="1" applyProtection="1">
      <protection locked="0"/>
    </xf>
    <xf numFmtId="164" fontId="6" fillId="4" borderId="12" xfId="2" applyNumberFormat="1" applyFont="1" applyFill="1" applyBorder="1" applyProtection="1">
      <protection locked="0"/>
    </xf>
    <xf numFmtId="164" fontId="6" fillId="4" borderId="5" xfId="2" applyNumberFormat="1" applyFont="1" applyFill="1" applyBorder="1" applyProtection="1">
      <protection locked="0"/>
    </xf>
    <xf numFmtId="164" fontId="6" fillId="4" borderId="13" xfId="2" applyNumberFormat="1" applyFont="1" applyFill="1" applyBorder="1" applyProtection="1">
      <protection locked="0"/>
    </xf>
    <xf numFmtId="0" fontId="6" fillId="4" borderId="7" xfId="0" applyFont="1" applyFill="1" applyBorder="1" applyProtection="1">
      <protection locked="0"/>
    </xf>
    <xf numFmtId="0" fontId="6" fillId="4" borderId="8" xfId="0" applyFont="1" applyFill="1" applyBorder="1" applyProtection="1">
      <protection locked="0"/>
    </xf>
    <xf numFmtId="0" fontId="6" fillId="4" borderId="9" xfId="0" applyFont="1" applyFill="1" applyBorder="1" applyProtection="1">
      <protection locked="0"/>
    </xf>
    <xf numFmtId="0" fontId="6" fillId="4" borderId="10" xfId="0" applyFont="1" applyFill="1" applyBorder="1" applyProtection="1">
      <protection locked="0"/>
    </xf>
    <xf numFmtId="0" fontId="6" fillId="4" borderId="0" xfId="0" applyFont="1" applyFill="1" applyBorder="1" applyProtection="1">
      <protection locked="0"/>
    </xf>
    <xf numFmtId="0" fontId="6" fillId="4" borderId="11" xfId="0" applyFont="1" applyFill="1" applyBorder="1" applyProtection="1">
      <protection locked="0"/>
    </xf>
    <xf numFmtId="0" fontId="6" fillId="4" borderId="12" xfId="0" applyFont="1" applyFill="1" applyBorder="1" applyProtection="1">
      <protection locked="0"/>
    </xf>
    <xf numFmtId="0" fontId="6" fillId="4" borderId="5" xfId="0" applyFont="1" applyFill="1" applyBorder="1" applyProtection="1">
      <protection locked="0"/>
    </xf>
    <xf numFmtId="0" fontId="6" fillId="4" borderId="13" xfId="0" applyFont="1" applyFill="1" applyBorder="1" applyProtection="1">
      <protection locked="0"/>
    </xf>
    <xf numFmtId="165" fontId="6" fillId="4" borderId="0" xfId="1" applyNumberFormat="1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164" fontId="6" fillId="4" borderId="0" xfId="2" applyNumberFormat="1" applyFont="1" applyFill="1" applyProtection="1">
      <protection locked="0"/>
    </xf>
    <xf numFmtId="165" fontId="6" fillId="4" borderId="0" xfId="1" applyNumberFormat="1" applyFont="1" applyFill="1" applyProtection="1">
      <protection locked="0"/>
    </xf>
    <xf numFmtId="189" fontId="56" fillId="0" borderId="0" xfId="0" applyNumberFormat="1" applyFont="1" applyFill="1" applyAlignment="1" applyProtection="1">
      <alignment horizontal="left"/>
    </xf>
    <xf numFmtId="186" fontId="56" fillId="0" borderId="0" xfId="0" applyNumberFormat="1" applyFont="1" applyFill="1" applyAlignment="1" applyProtection="1">
      <alignment horizontal="left"/>
    </xf>
    <xf numFmtId="187" fontId="56" fillId="0" borderId="0" xfId="0" applyNumberFormat="1" applyFont="1" applyFill="1" applyAlignment="1" applyProtection="1">
      <alignment horizontal="left"/>
    </xf>
    <xf numFmtId="0" fontId="2" fillId="0" borderId="0" xfId="0" applyFont="1" applyFill="1" applyProtection="1"/>
    <xf numFmtId="164" fontId="3" fillId="0" borderId="1" xfId="2" applyNumberFormat="1" applyFont="1" applyFill="1" applyBorder="1" applyProtection="1"/>
    <xf numFmtId="164" fontId="3" fillId="0" borderId="2" xfId="2" applyNumberFormat="1" applyFont="1" applyFill="1" applyBorder="1" applyProtection="1"/>
    <xf numFmtId="164" fontId="3" fillId="0" borderId="3" xfId="2" applyNumberFormat="1" applyFont="1" applyFill="1" applyBorder="1" applyProtection="1"/>
    <xf numFmtId="171" fontId="18" fillId="6" borderId="6" xfId="0" applyNumberFormat="1" applyFont="1" applyFill="1" applyBorder="1" applyAlignment="1" applyProtection="1">
      <alignment horizontal="center"/>
    </xf>
    <xf numFmtId="175" fontId="26" fillId="0" borderId="0" xfId="0" applyNumberFormat="1" applyFont="1" applyAlignment="1" applyProtection="1"/>
    <xf numFmtId="176" fontId="25" fillId="0" borderId="7" xfId="0" applyNumberFormat="1" applyFont="1" applyBorder="1" applyAlignment="1" applyProtection="1"/>
    <xf numFmtId="176" fontId="25" fillId="0" borderId="8" xfId="0" applyNumberFormat="1" applyFont="1" applyBorder="1" applyAlignment="1" applyProtection="1"/>
    <xf numFmtId="176" fontId="25" fillId="0" borderId="9" xfId="0" applyNumberFormat="1" applyFont="1" applyBorder="1" applyAlignment="1" applyProtection="1"/>
    <xf numFmtId="171" fontId="22" fillId="4" borderId="6" xfId="0" applyNumberFormat="1" applyFont="1" applyFill="1" applyBorder="1" applyAlignment="1" applyProtection="1">
      <alignment horizontal="center"/>
    </xf>
    <xf numFmtId="0" fontId="57" fillId="0" borderId="0" xfId="0" applyFont="1" applyAlignment="1" applyProtection="1"/>
    <xf numFmtId="0" fontId="39" fillId="0" borderId="0" xfId="6" applyFont="1"/>
    <xf numFmtId="0" fontId="58" fillId="9" borderId="35" xfId="6" applyFont="1" applyFill="1" applyBorder="1" applyAlignment="1">
      <alignment horizontal="center"/>
    </xf>
    <xf numFmtId="0" fontId="58" fillId="9" borderId="36" xfId="6" applyFont="1" applyFill="1" applyBorder="1" applyAlignment="1">
      <alignment horizontal="center"/>
    </xf>
    <xf numFmtId="0" fontId="58" fillId="9" borderId="37" xfId="6" applyFont="1" applyFill="1" applyBorder="1" applyAlignment="1">
      <alignment horizontal="center"/>
    </xf>
    <xf numFmtId="171" fontId="39" fillId="8" borderId="38" xfId="6" applyNumberFormat="1" applyFont="1" applyFill="1" applyBorder="1" applyAlignment="1">
      <alignment horizontal="center"/>
    </xf>
    <xf numFmtId="171" fontId="39" fillId="8" borderId="36" xfId="6" applyNumberFormat="1" applyFont="1" applyFill="1" applyBorder="1" applyAlignment="1">
      <alignment horizontal="center"/>
    </xf>
    <xf numFmtId="0" fontId="24" fillId="0" borderId="0" xfId="0" applyFont="1" applyAlignment="1" applyProtection="1">
      <alignment horizontal="center"/>
    </xf>
    <xf numFmtId="0" fontId="60" fillId="0" borderId="0" xfId="0" applyFont="1" applyAlignment="1" applyProtection="1">
      <alignment horizontal="center"/>
    </xf>
    <xf numFmtId="0" fontId="61" fillId="0" borderId="0" xfId="5" applyFont="1" applyAlignment="1" applyProtection="1">
      <protection locked="0"/>
    </xf>
    <xf numFmtId="171" fontId="59" fillId="4" borderId="6" xfId="0" applyNumberFormat="1" applyFont="1" applyFill="1" applyBorder="1" applyAlignment="1" applyProtection="1">
      <alignment horizontal="center"/>
      <protection locked="0"/>
    </xf>
    <xf numFmtId="0" fontId="25" fillId="0" borderId="0" xfId="0" applyFont="1" applyAlignment="1" applyProtection="1"/>
    <xf numFmtId="190" fontId="10" fillId="0" borderId="0" xfId="0" applyNumberFormat="1" applyFont="1" applyAlignment="1" applyProtection="1">
      <alignment horizontal="center"/>
    </xf>
    <xf numFmtId="0" fontId="62" fillId="3" borderId="0" xfId="0" applyFont="1" applyFill="1"/>
    <xf numFmtId="0" fontId="63" fillId="3" borderId="0" xfId="0" applyFont="1" applyFill="1"/>
    <xf numFmtId="0" fontId="63" fillId="3" borderId="0" xfId="0" applyFont="1" applyFill="1" applyAlignment="1">
      <alignment horizontal="left" vertical="center"/>
    </xf>
    <xf numFmtId="0" fontId="64" fillId="7" borderId="19" xfId="0" applyFont="1" applyFill="1" applyBorder="1" applyAlignment="1" applyProtection="1">
      <alignment horizontal="center" vertical="top"/>
    </xf>
    <xf numFmtId="0" fontId="2" fillId="0" borderId="0" xfId="0" applyFont="1" applyFill="1" applyBorder="1" applyProtection="1"/>
    <xf numFmtId="181" fontId="6" fillId="4" borderId="0" xfId="2" applyNumberFormat="1" applyFont="1" applyFill="1" applyBorder="1" applyProtection="1">
      <protection locked="0"/>
    </xf>
    <xf numFmtId="175" fontId="22" fillId="0" borderId="0" xfId="0" applyNumberFormat="1" applyFont="1" applyFill="1" applyAlignment="1" applyProtection="1"/>
    <xf numFmtId="175" fontId="10" fillId="0" borderId="0" xfId="0" applyNumberFormat="1" applyFont="1" applyFill="1" applyAlignment="1" applyProtection="1"/>
    <xf numFmtId="0" fontId="14" fillId="0" borderId="0" xfId="0" applyFont="1" applyFill="1" applyBorder="1" applyAlignment="1" applyProtection="1">
      <alignment horizontal="left" vertical="top" wrapText="1"/>
    </xf>
    <xf numFmtId="165" fontId="3" fillId="0" borderId="1" xfId="1" applyNumberFormat="1" applyFont="1" applyFill="1" applyBorder="1" applyProtection="1"/>
    <xf numFmtId="165" fontId="3" fillId="0" borderId="2" xfId="1" applyNumberFormat="1" applyFont="1" applyFill="1" applyBorder="1" applyProtection="1"/>
    <xf numFmtId="165" fontId="3" fillId="0" borderId="3" xfId="1" applyNumberFormat="1" applyFont="1" applyFill="1" applyBorder="1" applyProtection="1"/>
    <xf numFmtId="1" fontId="6" fillId="4" borderId="7" xfId="0" applyNumberFormat="1" applyFont="1" applyFill="1" applyBorder="1" applyProtection="1">
      <protection locked="0"/>
    </xf>
    <xf numFmtId="1" fontId="6" fillId="4" borderId="8" xfId="0" applyNumberFormat="1" applyFont="1" applyFill="1" applyBorder="1" applyProtection="1">
      <protection locked="0"/>
    </xf>
    <xf numFmtId="1" fontId="6" fillId="4" borderId="9" xfId="0" applyNumberFormat="1" applyFont="1" applyFill="1" applyBorder="1" applyProtection="1">
      <protection locked="0"/>
    </xf>
    <xf numFmtId="1" fontId="6" fillId="4" borderId="10" xfId="0" applyNumberFormat="1" applyFont="1" applyFill="1" applyBorder="1" applyProtection="1">
      <protection locked="0"/>
    </xf>
    <xf numFmtId="1" fontId="6" fillId="4" borderId="0" xfId="0" applyNumberFormat="1" applyFont="1" applyFill="1" applyBorder="1" applyProtection="1">
      <protection locked="0"/>
    </xf>
    <xf numFmtId="1" fontId="6" fillId="4" borderId="11" xfId="0" applyNumberFormat="1" applyFont="1" applyFill="1" applyBorder="1" applyProtection="1">
      <protection locked="0"/>
    </xf>
    <xf numFmtId="1" fontId="6" fillId="4" borderId="12" xfId="0" applyNumberFormat="1" applyFont="1" applyFill="1" applyBorder="1" applyProtection="1">
      <protection locked="0"/>
    </xf>
    <xf numFmtId="1" fontId="6" fillId="4" borderId="5" xfId="0" applyNumberFormat="1" applyFont="1" applyFill="1" applyBorder="1" applyProtection="1">
      <protection locked="0"/>
    </xf>
    <xf numFmtId="1" fontId="6" fillId="4" borderId="13" xfId="0" applyNumberFormat="1" applyFont="1" applyFill="1" applyBorder="1" applyProtection="1">
      <protection locked="0"/>
    </xf>
    <xf numFmtId="165" fontId="6" fillId="4" borderId="7" xfId="1" applyNumberFormat="1" applyFont="1" applyFill="1" applyBorder="1" applyProtection="1">
      <protection locked="0"/>
    </xf>
    <xf numFmtId="165" fontId="6" fillId="4" borderId="8" xfId="1" applyNumberFormat="1" applyFont="1" applyFill="1" applyBorder="1" applyProtection="1">
      <protection locked="0"/>
    </xf>
    <xf numFmtId="165" fontId="6" fillId="4" borderId="9" xfId="1" applyNumberFormat="1" applyFont="1" applyFill="1" applyBorder="1" applyProtection="1">
      <protection locked="0"/>
    </xf>
    <xf numFmtId="165" fontId="6" fillId="4" borderId="10" xfId="1" applyNumberFormat="1" applyFont="1" applyFill="1" applyBorder="1" applyProtection="1">
      <protection locked="0"/>
    </xf>
    <xf numFmtId="165" fontId="6" fillId="4" borderId="11" xfId="1" applyNumberFormat="1" applyFont="1" applyFill="1" applyBorder="1" applyProtection="1">
      <protection locked="0"/>
    </xf>
    <xf numFmtId="165" fontId="6" fillId="4" borderId="12" xfId="1" applyNumberFormat="1" applyFont="1" applyFill="1" applyBorder="1" applyProtection="1">
      <protection locked="0"/>
    </xf>
    <xf numFmtId="165" fontId="6" fillId="4" borderId="5" xfId="1" applyNumberFormat="1" applyFont="1" applyFill="1" applyBorder="1" applyProtection="1">
      <protection locked="0"/>
    </xf>
    <xf numFmtId="165" fontId="6" fillId="4" borderId="13" xfId="1" applyNumberFormat="1" applyFont="1" applyFill="1" applyBorder="1" applyProtection="1">
      <protection locked="0"/>
    </xf>
    <xf numFmtId="164" fontId="6" fillId="4" borderId="39" xfId="2" applyNumberFormat="1" applyFont="1" applyFill="1" applyBorder="1" applyProtection="1">
      <protection locked="0"/>
    </xf>
    <xf numFmtId="164" fontId="6" fillId="4" borderId="40" xfId="2" applyNumberFormat="1" applyFont="1" applyFill="1" applyBorder="1" applyProtection="1">
      <protection locked="0"/>
    </xf>
    <xf numFmtId="164" fontId="6" fillId="4" borderId="41" xfId="2" applyNumberFormat="1" applyFont="1" applyFill="1" applyBorder="1" applyProtection="1">
      <protection locked="0"/>
    </xf>
    <xf numFmtId="0" fontId="43" fillId="0" borderId="0" xfId="0" applyFont="1" applyFill="1" applyProtection="1"/>
    <xf numFmtId="43" fontId="0" fillId="0" borderId="0" xfId="1" applyFont="1" applyProtection="1"/>
    <xf numFmtId="0" fontId="29" fillId="0" borderId="0" xfId="0" applyFont="1" applyFill="1" applyProtection="1"/>
    <xf numFmtId="0" fontId="65" fillId="0" borderId="0" xfId="0" applyFont="1" applyFill="1" applyAlignment="1"/>
    <xf numFmtId="0" fontId="10" fillId="0" borderId="0" xfId="0" applyFont="1" applyFill="1" applyAlignment="1" applyProtection="1">
      <alignment indent="1"/>
    </xf>
    <xf numFmtId="0" fontId="10" fillId="0" borderId="0" xfId="0" applyFont="1" applyFill="1" applyBorder="1" applyAlignment="1" applyProtection="1">
      <alignment indent="1"/>
    </xf>
    <xf numFmtId="0" fontId="9" fillId="0" borderId="0" xfId="0" applyFont="1" applyFill="1" applyBorder="1" applyAlignment="1" applyProtection="1"/>
    <xf numFmtId="174" fontId="21" fillId="0" borderId="0" xfId="0" applyNumberFormat="1" applyFont="1" applyFill="1" applyBorder="1" applyAlignment="1" applyProtection="1"/>
    <xf numFmtId="174" fontId="22" fillId="0" borderId="0" xfId="0" applyNumberFormat="1" applyFont="1" applyFill="1" applyBorder="1" applyAlignment="1" applyProtection="1"/>
    <xf numFmtId="0" fontId="9" fillId="0" borderId="5" xfId="0" applyFont="1" applyFill="1" applyBorder="1" applyAlignment="1" applyProtection="1">
      <protection locked="0"/>
    </xf>
    <xf numFmtId="174" fontId="21" fillId="0" borderId="7" xfId="0" applyNumberFormat="1" applyFont="1" applyFill="1" applyBorder="1" applyAlignment="1" applyProtection="1"/>
    <xf numFmtId="174" fontId="21" fillId="0" borderId="8" xfId="0" applyNumberFormat="1" applyFont="1" applyFill="1" applyBorder="1" applyAlignment="1" applyProtection="1"/>
    <xf numFmtId="175" fontId="10" fillId="0" borderId="12" xfId="0" applyNumberFormat="1" applyFont="1" applyFill="1" applyBorder="1" applyAlignment="1" applyProtection="1"/>
    <xf numFmtId="175" fontId="10" fillId="0" borderId="5" xfId="0" applyNumberFormat="1" applyFont="1" applyFill="1" applyBorder="1" applyAlignment="1" applyProtection="1"/>
    <xf numFmtId="0" fontId="9" fillId="0" borderId="0" xfId="0" applyFont="1" applyFill="1" applyAlignment="1" applyProtection="1"/>
    <xf numFmtId="0" fontId="14" fillId="0" borderId="0" xfId="0" applyFont="1" applyFill="1" applyAlignment="1" applyProtection="1"/>
    <xf numFmtId="175" fontId="26" fillId="0" borderId="0" xfId="0" applyNumberFormat="1" applyFont="1" applyFill="1" applyAlignment="1" applyProtection="1"/>
    <xf numFmtId="175" fontId="10" fillId="0" borderId="16" xfId="0" applyNumberFormat="1" applyFont="1" applyFill="1" applyBorder="1" applyAlignment="1" applyProtection="1"/>
    <xf numFmtId="175" fontId="9" fillId="0" borderId="0" xfId="0" applyNumberFormat="1" applyFont="1" applyFill="1" applyAlignment="1" applyProtection="1"/>
    <xf numFmtId="0" fontId="11" fillId="0" borderId="0" xfId="0" applyFont="1" applyFill="1" applyAlignment="1" applyProtection="1"/>
    <xf numFmtId="0" fontId="13" fillId="0" borderId="0" xfId="0" applyFont="1" applyFill="1" applyAlignment="1" applyProtection="1"/>
    <xf numFmtId="175" fontId="13" fillId="0" borderId="0" xfId="0" applyNumberFormat="1" applyFont="1" applyFill="1" applyAlignment="1" applyProtection="1"/>
    <xf numFmtId="0" fontId="14" fillId="0" borderId="5" xfId="0" applyFont="1" applyFill="1" applyBorder="1" applyAlignment="1" applyProtection="1">
      <alignment vertical="top"/>
    </xf>
    <xf numFmtId="175" fontId="10" fillId="0" borderId="17" xfId="0" applyNumberFormat="1" applyFont="1" applyFill="1" applyBorder="1" applyAlignment="1" applyProtection="1"/>
    <xf numFmtId="0" fontId="37" fillId="0" borderId="0" xfId="0" applyFont="1" applyAlignment="1" applyProtection="1">
      <alignment horizontal="right" vertical="center" textRotation="90"/>
    </xf>
  </cellXfs>
  <cellStyles count="7">
    <cellStyle name="Comma" xfId="1" builtinId="3"/>
    <cellStyle name="Hyperlink" xfId="5" builtinId="8"/>
    <cellStyle name="Normal" xfId="0" builtinId="0"/>
    <cellStyle name="Normal 2 2 2" xfId="6" xr:uid="{26E1BFF7-2A8D-444A-91FC-8408F8B7FE41}"/>
    <cellStyle name="Normal 3" xfId="4" xr:uid="{2800BAD0-D2A9-4287-B9AA-726C246BF2C2}"/>
    <cellStyle name="Percent" xfId="2" builtinId="5"/>
    <cellStyle name="Percent 3" xfId="3" xr:uid="{B9407D18-9AE6-4675-8C33-D5432DC50B59}"/>
  </cellStyles>
  <dxfs count="16">
    <dxf>
      <font>
        <b/>
        <color rgb="FFB5121B"/>
      </font>
    </dxf>
    <dxf>
      <font>
        <b/>
        <color rgb="FF4F7A4A"/>
      </font>
    </dxf>
    <dxf>
      <font>
        <b/>
        <color rgb="FFB5121B"/>
      </font>
    </dxf>
    <dxf>
      <font>
        <b/>
        <color rgb="FF4F7A4A"/>
      </font>
    </dxf>
    <dxf>
      <font>
        <b/>
        <color rgb="FFB5121B"/>
      </font>
    </dxf>
    <dxf>
      <font>
        <b/>
        <color rgb="FF4F7A4A"/>
      </font>
    </dxf>
    <dxf>
      <font>
        <b/>
        <color rgb="FFB5121B"/>
      </font>
    </dxf>
    <dxf>
      <font>
        <b/>
        <color rgb="FF4F7A4A"/>
      </font>
    </dxf>
    <dxf>
      <font>
        <b/>
        <color rgb="FFB5121B"/>
      </font>
    </dxf>
    <dxf>
      <font>
        <b/>
        <color rgb="FF4F7A4A"/>
      </font>
    </dxf>
    <dxf>
      <font>
        <b/>
        <color rgb="FFB5121B"/>
      </font>
    </dxf>
    <dxf>
      <font>
        <b/>
        <color rgb="FF4F7A4A"/>
      </font>
    </dxf>
    <dxf>
      <font>
        <b/>
        <color rgb="FFB5121B"/>
      </font>
    </dxf>
    <dxf>
      <font>
        <b/>
        <color rgb="FF4F7A4A"/>
      </font>
    </dxf>
    <dxf>
      <font>
        <b/>
        <color rgb="FFB5121B"/>
      </font>
    </dxf>
    <dxf>
      <font>
        <b/>
        <color rgb="FF4F7A4A"/>
      </font>
    </dxf>
  </dxfs>
  <tableStyles count="0" defaultTableStyle="TableStyleMedium2" defaultPivotStyle="PivotStyleLight16"/>
  <colors>
    <mruColors>
      <color rgb="FFFFF9E6"/>
      <color rgb="FF63513D"/>
      <color rgb="FFBCA892"/>
      <color rgb="FF987C5E"/>
      <color rgb="FFD9C9B0"/>
      <color rgb="FFD9CEC1"/>
      <color rgb="FFB39C83"/>
      <color rgb="FFED8731"/>
      <color rgb="FFA5A5A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5365564443150021E-2"/>
          <c:y val="5.1174071991001123E-2"/>
          <c:w val="0.90633405797855193"/>
          <c:h val="0.765094206974128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Dashboard!$B$101</c:f>
              <c:strCache>
                <c:ptCount val="1"/>
                <c:pt idx="0">
                  <c:v>Revenue (CHF m)</c:v>
                </c:pt>
              </c:strCache>
            </c:strRef>
          </c:tx>
          <c:spPr>
            <a:solidFill>
              <a:srgbClr val="63513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FFF9E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Dashboard!$H$101:$O$101</c:f>
              <c:numCache>
                <c:formatCode>_(* #,##0_);_(* \(#,##0\);_(* "-"??_);_(@_)</c:formatCode>
                <c:ptCount val="8"/>
                <c:pt idx="0">
                  <c:v>93351</c:v>
                </c:pt>
                <c:pt idx="1">
                  <c:v>91720</c:v>
                </c:pt>
                <c:pt idx="2">
                  <c:v>89885</c:v>
                </c:pt>
                <c:pt idx="3">
                  <c:v>90315.187290000002</c:v>
                </c:pt>
                <c:pt idx="4">
                  <c:v>91679.043750524987</c:v>
                </c:pt>
                <c:pt idx="5">
                  <c:v>92137.438969277602</c:v>
                </c:pt>
                <c:pt idx="6">
                  <c:v>93989.54552898265</c:v>
                </c:pt>
                <c:pt idx="7">
                  <c:v>96630.872601962605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C-4AC5-BB2C-177BB83C9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3"/>
        <c:axId val="635279256"/>
        <c:axId val="635280568"/>
      </c:barChart>
      <c:lineChart>
        <c:grouping val="standard"/>
        <c:varyColors val="0"/>
        <c:ser>
          <c:idx val="2"/>
          <c:order val="1"/>
          <c:tx>
            <c:strRef>
              <c:f>Dashboard!$B$104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A5A5A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Dashboard!$H$104:$O$104</c:f>
              <c:numCache>
                <c:formatCode>0.0%</c:formatCode>
                <c:ptCount val="8"/>
                <c:pt idx="0">
                  <c:v>0.18768947306402717</c:v>
                </c:pt>
                <c:pt idx="1">
                  <c:v>0.19958569559529002</c:v>
                </c:pt>
                <c:pt idx="2">
                  <c:v>0.1770039494910163</c:v>
                </c:pt>
                <c:pt idx="3">
                  <c:v>0.1752638916550488</c:v>
                </c:pt>
                <c:pt idx="4">
                  <c:v>0.17803052784357318</c:v>
                </c:pt>
                <c:pt idx="5">
                  <c:v>0.175922025597018</c:v>
                </c:pt>
                <c:pt idx="6">
                  <c:v>0.17985350686414073</c:v>
                </c:pt>
                <c:pt idx="7">
                  <c:v>0.18278995156099287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C-4AC5-BB2C-177BB83C9CFE}"/>
            </c:ext>
          </c:extLst>
        </c:ser>
        <c:ser>
          <c:idx val="1"/>
          <c:order val="2"/>
          <c:tx>
            <c:strRef>
              <c:f>Dashboard!$B$106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D87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Dashboard!$H$106:$O$106</c:f>
              <c:numCache>
                <c:formatCode>0.0%</c:formatCode>
                <c:ptCount val="8"/>
                <c:pt idx="0">
                  <c:v>0.12328737774635515</c:v>
                </c:pt>
                <c:pt idx="1">
                  <c:v>0.12182730047972089</c:v>
                </c:pt>
                <c:pt idx="2">
                  <c:v>0.1029537742671191</c:v>
                </c:pt>
                <c:pt idx="3">
                  <c:v>0.10503584815186846</c:v>
                </c:pt>
                <c:pt idx="4">
                  <c:v>0.10795114001199257</c:v>
                </c:pt>
                <c:pt idx="5">
                  <c:v>0.10696943681189264</c:v>
                </c:pt>
                <c:pt idx="6">
                  <c:v>0.11115228321582672</c:v>
                </c:pt>
                <c:pt idx="7">
                  <c:v>0.11436212159835223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C-4AC5-BB2C-177BB83C9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560303"/>
        <c:axId val="1798065519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1798065519"/>
        <c:scaling>
          <c:orientation val="minMax"/>
          <c:max val="0.30000000000000004"/>
          <c:min val="5.000000000000001E-2"/>
        </c:scaling>
        <c:delete val="0"/>
        <c:axPos val="r"/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60303"/>
        <c:crosses val="max"/>
        <c:crossBetween val="between"/>
      </c:valAx>
      <c:catAx>
        <c:axId val="197560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980655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rgbClr val="D9C9B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5365564443150021E-2"/>
          <c:y val="5.1174071991001123E-2"/>
          <c:w val="0.90633405797855193"/>
          <c:h val="0.76509420697412822"/>
        </c:manualLayout>
      </c:layout>
      <c:lineChart>
        <c:grouping val="standard"/>
        <c:varyColors val="0"/>
        <c:ser>
          <c:idx val="3"/>
          <c:order val="0"/>
          <c:tx>
            <c:strRef>
              <c:f>Dashboard!$B$102</c:f>
              <c:strCache>
                <c:ptCount val="1"/>
                <c:pt idx="0">
                  <c:v>EBITDA (CHF m)</c:v>
                </c:pt>
              </c:strCache>
            </c:strRef>
          </c:tx>
          <c:spPr>
            <a:ln w="28575" cap="rnd">
              <a:solidFill>
                <a:srgbClr val="A5A5A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A5A5A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Dashboard!$H$102:$O$102</c:f>
              <c:numCache>
                <c:formatCode>_(* #,##0_);_(* \(#,##0\);_(* "-"??_);_(@_)</c:formatCode>
                <c:ptCount val="8"/>
                <c:pt idx="0">
                  <c:v>17521</c:v>
                </c:pt>
                <c:pt idx="1">
                  <c:v>18306</c:v>
                </c:pt>
                <c:pt idx="2">
                  <c:v>15910</c:v>
                </c:pt>
                <c:pt idx="3">
                  <c:v>15828.9912</c:v>
                </c:pt>
                <c:pt idx="4">
                  <c:v>16321.668551100003</c:v>
                </c:pt>
                <c:pt idx="5">
                  <c:v>16209.004896796938</c:v>
                </c:pt>
                <c:pt idx="6">
                  <c:v>16904.349371954348</c:v>
                </c:pt>
                <c:pt idx="7">
                  <c:v>17663.152522209217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9C-4381-AD58-7A4B8882EA47}"/>
            </c:ext>
          </c:extLst>
        </c:ser>
        <c:ser>
          <c:idx val="0"/>
          <c:order val="1"/>
          <c:tx>
            <c:strRef>
              <c:f>Dashboard!$B$107</c:f>
              <c:strCache>
                <c:ptCount val="1"/>
                <c:pt idx="0">
                  <c:v>Net profit (CHF m)</c:v>
                </c:pt>
              </c:strCache>
            </c:strRef>
          </c:tx>
          <c:spPr>
            <a:ln w="28575" cap="rnd">
              <a:solidFill>
                <a:srgbClr val="ED8731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4.1047818177353729E-2"/>
                  <c:y val="3.502493438320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9C-4381-AD58-7A4B8882E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D87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Dashboard!$H$107:$O$107</c:f>
              <c:numCache>
                <c:formatCode>_(* #,##0_);_(* \(#,##0\);_(* "-"??_);_(@_)</c:formatCode>
                <c:ptCount val="8"/>
                <c:pt idx="0">
                  <c:v>11509</c:v>
                </c:pt>
                <c:pt idx="1">
                  <c:v>11174</c:v>
                </c:pt>
                <c:pt idx="2">
                  <c:v>9254</c:v>
                </c:pt>
                <c:pt idx="3">
                  <c:v>9486.3322980000012</c:v>
                </c:pt>
                <c:pt idx="4">
                  <c:v>9896.8572880785159</c:v>
                </c:pt>
                <c:pt idx="5">
                  <c:v>9855.8899558337544</c:v>
                </c:pt>
                <c:pt idx="6">
                  <c:v>10447.15258396432</c:v>
                </c:pt>
                <c:pt idx="7">
                  <c:v>11050.91160266053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9C-4381-AD58-7A4B8882EA47}"/>
            </c:ext>
          </c:extLst>
        </c:ser>
        <c:ser>
          <c:idx val="1"/>
          <c:order val="2"/>
          <c:tx>
            <c:strRef>
              <c:f>Dashboard!$B$126</c:f>
              <c:strCache>
                <c:ptCount val="1"/>
                <c:pt idx="0">
                  <c:v>Free cash flow (CHF m)</c:v>
                </c:pt>
              </c:strCache>
            </c:strRef>
          </c:tx>
          <c:spPr>
            <a:ln w="28575" cap="rnd">
              <a:solidFill>
                <a:srgbClr val="63513D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3513D"/>
              </a:solidFill>
              <a:ln w="9525">
                <a:solidFill>
                  <a:srgbClr val="63513D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3.3705712153513485E-2"/>
                  <c:y val="-4.1691601049868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9C-4381-AD58-7A4B8882E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63513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Dashboard!$H$126:$O$126</c:f>
              <c:numCache>
                <c:formatCode>_(* #,##0_);_(* \(#,##0\);_(* "-"??_);_(@_)</c:formatCode>
                <c:ptCount val="8"/>
                <c:pt idx="0">
                  <c:v>9738</c:v>
                </c:pt>
                <c:pt idx="1">
                  <c:v>10712</c:v>
                </c:pt>
                <c:pt idx="2">
                  <c:v>10993</c:v>
                </c:pt>
                <c:pt idx="3">
                  <c:v>8966.7166504139841</c:v>
                </c:pt>
                <c:pt idx="4">
                  <c:v>9427.2454539948612</c:v>
                </c:pt>
                <c:pt idx="5">
                  <c:v>9484.9229342268318</c:v>
                </c:pt>
                <c:pt idx="6">
                  <c:v>9780.067078650367</c:v>
                </c:pt>
                <c:pt idx="7">
                  <c:v>9988.4928245046867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9C-4381-AD58-7A4B8882E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279256"/>
        <c:axId val="635280568"/>
        <c:extLst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rgbClr val="D9C9B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22003499562554"/>
          <c:y val="5.0925925925925923E-2"/>
          <c:w val="0.85355774278215224"/>
          <c:h val="0.80521580635753864"/>
        </c:manualLayout>
      </c:layout>
      <c:areaChart>
        <c:grouping val="stacked"/>
        <c:varyColors val="0"/>
        <c:ser>
          <c:idx val="1"/>
          <c:order val="1"/>
          <c:tx>
            <c:strRef>
              <c:f>Dashboard!$B$151</c:f>
              <c:strCache>
                <c:ptCount val="1"/>
                <c:pt idx="0">
                  <c:v>Distribution expenses</c:v>
                </c:pt>
              </c:strCache>
            </c:strRef>
          </c:tx>
          <c:spPr>
            <a:solidFill>
              <a:srgbClr val="63513D"/>
            </a:solidFill>
            <a:ln>
              <a:noFill/>
            </a:ln>
            <a:effectLst/>
          </c:spPr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Dashboard!$H$151:$O$151</c:f>
              <c:numCache>
                <c:formatCode>_(* #,##0_);_(* \(#,##0\);_(* "-"??_);_(@_)</c:formatCode>
                <c:ptCount val="8"/>
                <c:pt idx="0">
                  <c:v>7765</c:v>
                </c:pt>
                <c:pt idx="1">
                  <c:v>7567</c:v>
                </c:pt>
                <c:pt idx="2">
                  <c:v>7306</c:v>
                </c:pt>
                <c:pt idx="3">
                  <c:v>7284.9334500000004</c:v>
                </c:pt>
                <c:pt idx="4">
                  <c:v>7348.5641958749993</c:v>
                </c:pt>
                <c:pt idx="5">
                  <c:v>7339.4355446999989</c:v>
                </c:pt>
                <c:pt idx="6">
                  <c:v>7439.4353539965368</c:v>
                </c:pt>
                <c:pt idx="7">
                  <c:v>7599.6405530662487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E-4F35-AA7D-5D13CE51B0FD}"/>
            </c:ext>
          </c:extLst>
        </c:ser>
        <c:ser>
          <c:idx val="2"/>
          <c:order val="2"/>
          <c:tx>
            <c:strRef>
              <c:f>Dashboard!$B$152</c:f>
              <c:strCache>
                <c:ptCount val="1"/>
                <c:pt idx="0">
                  <c:v>Marketing and administration expenses</c:v>
                </c:pt>
              </c:strCache>
            </c:strRef>
          </c:tx>
          <c:spPr>
            <a:solidFill>
              <a:srgbClr val="987C5E"/>
            </a:solidFill>
            <a:ln>
              <a:noFill/>
            </a:ln>
            <a:effectLst/>
          </c:spPr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Dashboard!$H$152:$O$152</c:f>
              <c:numCache>
                <c:formatCode>_(* #,##0_);_(* \(#,##0\);_(* "-"??_);_(@_)</c:formatCode>
                <c:ptCount val="8"/>
                <c:pt idx="0">
                  <c:v>17549</c:v>
                </c:pt>
                <c:pt idx="1">
                  <c:v>18112</c:v>
                </c:pt>
                <c:pt idx="2">
                  <c:v>17883</c:v>
                </c:pt>
                <c:pt idx="3">
                  <c:v>17987.490000000002</c:v>
                </c:pt>
                <c:pt idx="4">
                  <c:v>18348.588861749999</c:v>
                </c:pt>
                <c:pt idx="5">
                  <c:v>18440.331806058748</c:v>
                </c:pt>
                <c:pt idx="6">
                  <c:v>18902.71624537485</c:v>
                </c:pt>
                <c:pt idx="7">
                  <c:v>19528.190281929728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6E-4F35-AA7D-5D13CE51B0FD}"/>
            </c:ext>
          </c:extLst>
        </c:ser>
        <c:ser>
          <c:idx val="3"/>
          <c:order val="3"/>
          <c:tx>
            <c:strRef>
              <c:f>Dashboard!$B$153</c:f>
              <c:strCache>
                <c:ptCount val="1"/>
                <c:pt idx="0">
                  <c:v>Research and development costs</c:v>
                </c:pt>
              </c:strCache>
            </c:strRef>
          </c:tx>
          <c:spPr>
            <a:solidFill>
              <a:srgbClr val="B39C83"/>
            </a:solidFill>
            <a:ln>
              <a:noFill/>
            </a:ln>
            <a:effectLst/>
          </c:spPr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Dashboard!$H$153:$O$153</c:f>
              <c:numCache>
                <c:formatCode>_(* #,##0_);_(* \(#,##0\);_(* "-"??_);_(@_)</c:formatCode>
                <c:ptCount val="8"/>
                <c:pt idx="0">
                  <c:v>1656</c:v>
                </c:pt>
                <c:pt idx="1">
                  <c:v>1667</c:v>
                </c:pt>
                <c:pt idx="2">
                  <c:v>1613</c:v>
                </c:pt>
                <c:pt idx="3">
                  <c:v>1618.8740999999998</c:v>
                </c:pt>
                <c:pt idx="4">
                  <c:v>1643.1572114999997</c:v>
                </c:pt>
                <c:pt idx="5">
                  <c:v>1651.3729975574995</c:v>
                </c:pt>
                <c:pt idx="6">
                  <c:v>1684.4004575086497</c:v>
                </c:pt>
                <c:pt idx="7">
                  <c:v>1731.5636703188918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6E-4F35-AA7D-5D13CE51B0FD}"/>
            </c:ext>
          </c:extLst>
        </c:ser>
        <c:ser>
          <c:idx val="4"/>
          <c:order val="4"/>
          <c:tx>
            <c:strRef>
              <c:f>Dashboard!$B$154</c:f>
              <c:strCache>
                <c:ptCount val="1"/>
                <c:pt idx="0">
                  <c:v>Other trading expenses</c:v>
                </c:pt>
              </c:strCache>
            </c:strRef>
          </c:tx>
          <c:spPr>
            <a:solidFill>
              <a:srgbClr val="FFF9E6"/>
            </a:solidFill>
            <a:ln>
              <a:noFill/>
            </a:ln>
            <a:effectLst/>
          </c:spPr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Dashboard!$H$154:$O$154</c:f>
              <c:numCache>
                <c:formatCode>_(* #,##0_);_(* \(#,##0\);_(* "-"??_);_(@_)</c:formatCode>
                <c:ptCount val="8"/>
                <c:pt idx="0">
                  <c:v>1665</c:v>
                </c:pt>
                <c:pt idx="1">
                  <c:v>1195</c:v>
                </c:pt>
                <c:pt idx="2">
                  <c:v>1849</c:v>
                </c:pt>
                <c:pt idx="3">
                  <c:v>2158.4987999999998</c:v>
                </c:pt>
                <c:pt idx="4">
                  <c:v>1734.4437232499997</c:v>
                </c:pt>
                <c:pt idx="5">
                  <c:v>1376.1441646312496</c:v>
                </c:pt>
                <c:pt idx="6">
                  <c:v>1076.1447367416374</c:v>
                </c:pt>
                <c:pt idx="7">
                  <c:v>913.88082600163739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6E-4F35-AA7D-5D13CE51B0FD}"/>
            </c:ext>
          </c:extLst>
        </c:ser>
        <c:ser>
          <c:idx val="5"/>
          <c:order val="5"/>
          <c:tx>
            <c:strRef>
              <c:f>Dashboard!$B$155</c:f>
              <c:strCache>
                <c:ptCount val="1"/>
                <c:pt idx="0">
                  <c:v>Other operating expenses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Dashboard!$H$155:$O$155</c:f>
              <c:numCache>
                <c:formatCode>_(* #,##0_);_(* \(#,##0\);_(* "-"??_);_(@_)</c:formatCode>
                <c:ptCount val="8"/>
                <c:pt idx="0">
                  <c:v>755</c:v>
                </c:pt>
                <c:pt idx="1">
                  <c:v>383</c:v>
                </c:pt>
                <c:pt idx="2">
                  <c:v>651</c:v>
                </c:pt>
                <c:pt idx="3">
                  <c:v>539.62469999999996</c:v>
                </c:pt>
                <c:pt idx="4">
                  <c:v>502.07581462499991</c:v>
                </c:pt>
                <c:pt idx="5">
                  <c:v>477.06331040549986</c:v>
                </c:pt>
                <c:pt idx="6">
                  <c:v>467.88901597462495</c:v>
                </c:pt>
                <c:pt idx="7">
                  <c:v>461.75031208503782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6E-4F35-AA7D-5D13CE51B0FD}"/>
            </c:ext>
          </c:extLst>
        </c:ser>
        <c:ser>
          <c:idx val="6"/>
          <c:order val="6"/>
          <c:tx>
            <c:strRef>
              <c:f>Dashboard!$B$156</c:f>
              <c:strCache>
                <c:ptCount val="1"/>
                <c:pt idx="0">
                  <c:v>Financial expense</c:v>
                </c:pt>
              </c:strCache>
            </c:strRef>
          </c:tx>
          <c:spPr>
            <a:solidFill>
              <a:srgbClr val="D9CEC1"/>
            </a:solidFill>
            <a:ln>
              <a:noFill/>
            </a:ln>
            <a:effectLst/>
          </c:spPr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Dashboard!$H$156:$O$156</c:f>
              <c:numCache>
                <c:formatCode>_(* #,##0_);_(* \(#,##0\);_(* "-"??_);_(@_)</c:formatCode>
                <c:ptCount val="8"/>
                <c:pt idx="0">
                  <c:v>1644</c:v>
                </c:pt>
                <c:pt idx="1">
                  <c:v>1843</c:v>
                </c:pt>
                <c:pt idx="2">
                  <c:v>1826</c:v>
                </c:pt>
                <c:pt idx="3">
                  <c:v>1677.7080000000001</c:v>
                </c:pt>
                <c:pt idx="4">
                  <c:v>1644.1538399999999</c:v>
                </c:pt>
                <c:pt idx="5">
                  <c:v>1627.7123016</c:v>
                </c:pt>
                <c:pt idx="6">
                  <c:v>1627.7123016</c:v>
                </c:pt>
                <c:pt idx="7">
                  <c:v>1643.989424616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6E-4F35-AA7D-5D13CE51B0FD}"/>
            </c:ext>
          </c:extLst>
        </c:ser>
        <c:ser>
          <c:idx val="7"/>
          <c:order val="7"/>
          <c:tx>
            <c:strRef>
              <c:f>Dashboard!$B$157</c:f>
              <c:strCache>
                <c:ptCount val="1"/>
                <c:pt idx="0">
                  <c:v>Taxes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Dashboard!$H$157:$O$157</c:f>
              <c:numCache>
                <c:formatCode>_(* #,##0_);_(* \(#,##0\);_(* "-"??_);_(@_)</c:formatCode>
                <c:ptCount val="8"/>
                <c:pt idx="0">
                  <c:v>2314</c:v>
                </c:pt>
                <c:pt idx="1">
                  <c:v>3314</c:v>
                </c:pt>
                <c:pt idx="2">
                  <c:v>2640</c:v>
                </c:pt>
                <c:pt idx="3">
                  <c:v>2552.4509019999996</c:v>
                </c:pt>
                <c:pt idx="4">
                  <c:v>2664.0938388215054</c:v>
                </c:pt>
                <c:pt idx="5">
                  <c:v>2636.4644138312838</c:v>
                </c:pt>
                <c:pt idx="6">
                  <c:v>2798.5360144308697</c:v>
                </c:pt>
                <c:pt idx="7">
                  <c:v>2963.4684707498359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6E-4F35-AA7D-5D13CE51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9270008"/>
        <c:axId val="569271320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Dashboard!$B$150</c15:sqref>
                        </c15:formulaRef>
                      </c:ext>
                    </c:extLst>
                    <c:strCache>
                      <c:ptCount val="1"/>
                      <c:pt idx="0">
                        <c:v>Cost of goods sold</c:v>
                      </c:pt>
                    </c:strCache>
                  </c:strRef>
                </c:tx>
                <c:spPr>
                  <a:solidFill>
                    <a:srgbClr val="D4D4D4"/>
                  </a:solidFill>
                  <a:ln>
                    <a:noFill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Dashboard!$H$99:$O$99</c15:sqref>
                        </c15:formulaRef>
                      </c:ext>
                    </c:extLst>
                    <c:strCache>
                      <c:ptCount val="8"/>
                      <c:pt idx="0">
                        <c:v>2023A</c:v>
                      </c:pt>
                      <c:pt idx="1">
                        <c:v>2024A</c:v>
                      </c:pt>
                      <c:pt idx="2">
                        <c:v>2025A</c:v>
                      </c:pt>
                      <c:pt idx="3">
                        <c:v>2026F</c:v>
                      </c:pt>
                      <c:pt idx="4">
                        <c:v>2027F</c:v>
                      </c:pt>
                      <c:pt idx="5">
                        <c:v>2028F</c:v>
                      </c:pt>
                      <c:pt idx="6">
                        <c:v>2029F</c:v>
                      </c:pt>
                      <c:pt idx="7">
                        <c:v>2030F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Dashboard!$H$150:$O$150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8"/>
                      <c:pt idx="0">
                        <c:v>50328</c:v>
                      </c:pt>
                      <c:pt idx="1">
                        <c:v>48670</c:v>
                      </c:pt>
                      <c:pt idx="2">
                        <c:v>48694</c:v>
                      </c:pt>
                      <c:pt idx="3">
                        <c:v>48738.039819999998</c:v>
                      </c:pt>
                      <c:pt idx="4">
                        <c:v>49651.425736424986</c:v>
                      </c:pt>
                      <c:pt idx="5">
                        <c:v>50533.63254607447</c:v>
                      </c:pt>
                      <c:pt idx="6">
                        <c:v>51462.02899924713</c:v>
                      </c:pt>
                      <c:pt idx="7">
                        <c:v>52775.863791894226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E6E-4F35-AA7D-5D13CE51B0FD}"/>
                  </c:ext>
                </c:extLst>
              </c15:ser>
            </c15:filteredAreaSeries>
          </c:ext>
        </c:extLst>
      </c:areaChart>
      <c:catAx>
        <c:axId val="569270008"/>
        <c:scaling>
          <c:orientation val="minMax"/>
        </c:scaling>
        <c:delete val="0"/>
        <c:axPos val="b"/>
        <c:numFmt formatCode="&quot;Yr &quot;0_);&quot;Yr &quot;\-0_)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569271320"/>
        <c:crosses val="autoZero"/>
        <c:auto val="1"/>
        <c:lblAlgn val="ctr"/>
        <c:lblOffset val="100"/>
        <c:noMultiLvlLbl val="0"/>
      </c:catAx>
      <c:valAx>
        <c:axId val="569271320"/>
        <c:scaling>
          <c:orientation val="minMax"/>
          <c:max val="45000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270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377821522309713"/>
          <c:y val="2.8355934674832269E-2"/>
          <c:w val="0.68899956255468064"/>
          <c:h val="0.12390586204585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4.5365564443150021E-2"/>
          <c:y val="5.1174071991001123E-2"/>
          <c:w val="0.90633405797855193"/>
          <c:h val="0.76509420697412822"/>
        </c:manualLayout>
      </c:layout>
      <c:lineChart>
        <c:grouping val="standard"/>
        <c:varyColors val="0"/>
        <c:ser>
          <c:idx val="3"/>
          <c:order val="0"/>
          <c:tx>
            <c:strRef>
              <c:f>Dashboard!$B$111</c:f>
              <c:strCache>
                <c:ptCount val="1"/>
                <c:pt idx="0">
                  <c:v>DSO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Dashboard!$H$111:$O$111</c:f>
              <c:numCache>
                <c:formatCode>_(* #,##0_);_(* \(#,##0\);_(* "-"??_);_(@_)</c:formatCode>
                <c:ptCount val="8"/>
                <c:pt idx="0">
                  <c:v>42.990166147122153</c:v>
                </c:pt>
                <c:pt idx="1">
                  <c:v>44.773386393371126</c:v>
                </c:pt>
                <c:pt idx="2">
                  <c:v>42.885520387161371</c:v>
                </c:pt>
                <c:pt idx="3">
                  <c:v>42.820155347540329</c:v>
                </c:pt>
                <c:pt idx="4">
                  <c:v>42.815891665836908</c:v>
                </c:pt>
                <c:pt idx="5">
                  <c:v>42.318032460420191</c:v>
                </c:pt>
                <c:pt idx="6">
                  <c:v>41.816009557945044</c:v>
                </c:pt>
                <c:pt idx="7">
                  <c:v>41.811846689895468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A-4BDB-95ED-370FA3E9CB6F}"/>
            </c:ext>
          </c:extLst>
        </c:ser>
        <c:ser>
          <c:idx val="0"/>
          <c:order val="1"/>
          <c:tx>
            <c:strRef>
              <c:f>Dashboard!$B$112</c:f>
              <c:strCache>
                <c:ptCount val="1"/>
                <c:pt idx="0">
                  <c:v>DSI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Dashboard!$H$112:$O$112</c:f>
              <c:numCache>
                <c:formatCode>_(* #,##0_);_(* \(#,##0\);_(* "-"??_);_(@_)</c:formatCode>
                <c:ptCount val="8"/>
                <c:pt idx="0">
                  <c:v>86.274837068828489</c:v>
                </c:pt>
                <c:pt idx="1">
                  <c:v>99.443188822683382</c:v>
                </c:pt>
                <c:pt idx="2">
                  <c:v>96.043557727851478</c:v>
                </c:pt>
                <c:pt idx="3">
                  <c:v>93</c:v>
                </c:pt>
                <c:pt idx="4">
                  <c:v>91.000000000000014</c:v>
                </c:pt>
                <c:pt idx="5">
                  <c:v>89</c:v>
                </c:pt>
                <c:pt idx="6">
                  <c:v>88</c:v>
                </c:pt>
                <c:pt idx="7">
                  <c:v>86.999999999999986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A-4BDB-95ED-370FA3E9CB6F}"/>
            </c:ext>
          </c:extLst>
        </c:ser>
        <c:ser>
          <c:idx val="1"/>
          <c:order val="2"/>
          <c:tx>
            <c:strRef>
              <c:f>Dashboard!$B$113</c:f>
              <c:strCache>
                <c:ptCount val="1"/>
                <c:pt idx="0">
                  <c:v>DPO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D873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Dashboard!$H$113:$O$113</c:f>
              <c:numCache>
                <c:formatCode>_(* #,##0_);_(* \(#,##0\);_(* "-"??_);_(@_)</c:formatCode>
                <c:ptCount val="8"/>
                <c:pt idx="0">
                  <c:v>139.27555237641076</c:v>
                </c:pt>
                <c:pt idx="1">
                  <c:v>163.5412985411958</c:v>
                </c:pt>
                <c:pt idx="2">
                  <c:v>150.08820388548898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A-4BDB-95ED-370FA3E9CB6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lineChart>
        <c:grouping val="standard"/>
        <c:varyColors val="0"/>
        <c:ser>
          <c:idx val="2"/>
          <c:order val="3"/>
          <c:tx>
            <c:strRef>
              <c:f>Dashboard!$B$114</c:f>
              <c:strCache>
                <c:ptCount val="1"/>
                <c:pt idx="0">
                  <c:v>Cash Cycle</c:v>
                </c:pt>
              </c:strCache>
            </c:strRef>
          </c:tx>
          <c:spPr>
            <a:ln w="28575" cap="rnd">
              <a:solidFill>
                <a:srgbClr val="63513D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63513D"/>
              </a:solidFill>
              <a:ln w="9525">
                <a:solidFill>
                  <a:srgbClr val="63513D"/>
                </a:solidFill>
              </a:ln>
              <a:effectLst/>
            </c:spPr>
          </c:marker>
          <c:dLbls>
            <c:delete val="1"/>
          </c:dLbls>
          <c:cat>
            <c:strRef>
              <c:f>Dashboard!$H$99:$O$99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2026F</c:v>
                </c:pt>
                <c:pt idx="4">
                  <c:v>2027F</c:v>
                </c:pt>
                <c:pt idx="5">
                  <c:v>2028F</c:v>
                </c:pt>
                <c:pt idx="6">
                  <c:v>2029F</c:v>
                </c:pt>
                <c:pt idx="7">
                  <c:v>2030F</c:v>
                </c:pt>
              </c:strCache>
            </c:strRef>
          </c:cat>
          <c:val>
            <c:numRef>
              <c:f>Dashboard!$H$114:$O$114</c:f>
              <c:numCache>
                <c:formatCode>_(* #,##0_);_(* \(#,##0\);_(* "-"??_);_(@_)</c:formatCode>
                <c:ptCount val="8"/>
                <c:pt idx="0">
                  <c:v>-10.01054916046013</c:v>
                </c:pt>
                <c:pt idx="1">
                  <c:v>-19.324723325141292</c:v>
                </c:pt>
                <c:pt idx="2">
                  <c:v>-11.159125770476123</c:v>
                </c:pt>
                <c:pt idx="3">
                  <c:v>-14.179844652459678</c:v>
                </c:pt>
                <c:pt idx="4">
                  <c:v>-16.184108334163085</c:v>
                </c:pt>
                <c:pt idx="5">
                  <c:v>-18.681967539579801</c:v>
                </c:pt>
                <c:pt idx="6">
                  <c:v>-20.183990442054949</c:v>
                </c:pt>
                <c:pt idx="7">
                  <c:v>-21.188153310104553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8A-4BDB-95ED-370FA3E9CB6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6306719"/>
        <c:axId val="543117423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543117423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06719"/>
        <c:crosses val="max"/>
        <c:crossBetween val="between"/>
      </c:valAx>
      <c:catAx>
        <c:axId val="5363067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3117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plotArea>
      <cx:plotAreaRegion>
        <cx:series layoutId="waterfall" uniqueId="{B0F9D80C-7398-4A97-AEE6-D3C9032D99F0}" formatIdx="0">
          <cx:spPr>
            <a:solidFill>
              <a:srgbClr val="BCA892"/>
            </a:solidFill>
          </cx:spPr>
          <cx:dataPt idx="0">
            <cx:spPr>
              <a:solidFill>
                <a:srgbClr val="63513D"/>
              </a:solidFill>
            </cx:spPr>
          </cx:dataPt>
          <cx:dataPt idx="7">
            <cx:spPr>
              <a:solidFill>
                <a:srgbClr val="ED8731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subtotals>
              <cx:idx val="7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B0F9D80C-7398-4A97-AEE6-D3C9032D99F0}" formatIdx="0">
          <cx:spPr>
            <a:solidFill>
              <a:srgbClr val="BCA892"/>
            </a:solidFill>
          </cx:spPr>
          <cx:dataPt idx="0">
            <cx:spPr>
              <a:solidFill>
                <a:srgbClr val="63513D"/>
              </a:solidFill>
            </cx:spPr>
          </cx:dataPt>
          <cx:dataPt idx="7">
            <cx:spPr>
              <a:solidFill>
                <a:srgbClr val="FFC000">
                  <a:lumMod val="60000"/>
                  <a:lumOff val="4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</cx:dataLabels>
          <cx:dataId val="0"/>
          <cx:layoutPr>
            <cx:subtotals>
              <cx:idx val="7"/>
            </cx:subtotals>
          </cx:layoutPr>
        </cx:series>
      </cx:plotAreaRegion>
      <cx:axis id="0">
        <cx:catScaling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.png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26894</xdr:colOff>
      <xdr:row>1</xdr:row>
      <xdr:rowOff>2</xdr:rowOff>
    </xdr:from>
    <xdr:to>
      <xdr:col>6</xdr:col>
      <xdr:colOff>421341</xdr:colOff>
      <xdr:row>1</xdr:row>
      <xdr:rowOff>871410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F281E2-7548-4658-8ED3-47E8DE581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1" y="188261"/>
          <a:ext cx="4052047" cy="871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770467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" y="2910840"/>
              <a:ext cx="6371167" cy="384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10</xdr:row>
      <xdr:rowOff>0</xdr:rowOff>
    </xdr:from>
    <xdr:to>
      <xdr:col>17</xdr:col>
      <xdr:colOff>0</xdr:colOff>
      <xdr:row>28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0" y="2910840"/>
              <a:ext cx="6400800" cy="3840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30</xdr:row>
      <xdr:rowOff>0</xdr:rowOff>
    </xdr:from>
    <xdr:to>
      <xdr:col>8</xdr:col>
      <xdr:colOff>778934</xdr:colOff>
      <xdr:row>48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17</xdr:col>
      <xdr:colOff>0</xdr:colOff>
      <xdr:row>48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152399</xdr:colOff>
      <xdr:row>50</xdr:row>
      <xdr:rowOff>0</xdr:rowOff>
    </xdr:from>
    <xdr:to>
      <xdr:col>8</xdr:col>
      <xdr:colOff>804333</xdr:colOff>
      <xdr:row>68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801076</xdr:colOff>
      <xdr:row>49</xdr:row>
      <xdr:rowOff>214921</xdr:rowOff>
    </xdr:from>
    <xdr:to>
      <xdr:col>16</xdr:col>
      <xdr:colOff>801075</xdr:colOff>
      <xdr:row>68</xdr:row>
      <xdr:rowOff>195384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</xdr:colOff>
      <xdr:row>0</xdr:row>
      <xdr:rowOff>1</xdr:rowOff>
    </xdr:from>
    <xdr:to>
      <xdr:col>5</xdr:col>
      <xdr:colOff>7620</xdr:colOff>
      <xdr:row>0</xdr:row>
      <xdr:rowOff>689897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A7E6306-8F8D-4264-B509-C831B6F75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"/>
          <a:ext cx="3208019" cy="6898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22861</xdr:colOff>
      <xdr:row>0</xdr:row>
      <xdr:rowOff>0</xdr:rowOff>
    </xdr:from>
    <xdr:to>
      <xdr:col>4</xdr:col>
      <xdr:colOff>594361</xdr:colOff>
      <xdr:row>0</xdr:row>
      <xdr:rowOff>689897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922D1F-1DAD-4B1E-84E7-BDCF952AA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1" y="0"/>
          <a:ext cx="3208020" cy="689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0</xdr:rowOff>
    </xdr:from>
    <xdr:to>
      <xdr:col>4</xdr:col>
      <xdr:colOff>381001</xdr:colOff>
      <xdr:row>0</xdr:row>
      <xdr:rowOff>696452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3C239-8399-4E0C-B275-18A1F2209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1" y="0"/>
          <a:ext cx="3238500" cy="6964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17931</xdr:colOff>
      <xdr:row>0</xdr:row>
      <xdr:rowOff>0</xdr:rowOff>
    </xdr:from>
    <xdr:to>
      <xdr:col>4</xdr:col>
      <xdr:colOff>89649</xdr:colOff>
      <xdr:row>0</xdr:row>
      <xdr:rowOff>694042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C285E-337F-447B-98E6-090C9872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096" y="0"/>
          <a:ext cx="3227294" cy="6940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30A4-B902-4955-AA0C-795B38A221C7}">
  <dimension ref="B1:Q37"/>
  <sheetViews>
    <sheetView showGridLines="0" tabSelected="1" zoomScale="85" zoomScaleNormal="85" workbookViewId="0">
      <pane ySplit="2" topLeftCell="A12" activePane="bottomLeft" state="frozen"/>
      <selection pane="bottomLeft" activeCell="E28" sqref="E28"/>
    </sheetView>
  </sheetViews>
  <sheetFormatPr defaultRowHeight="14.4" outlineLevelCol="1"/>
  <cols>
    <col min="1" max="1" width="3.5546875" style="83" customWidth="1"/>
    <col min="2" max="2" width="2.33203125" style="83" customWidth="1"/>
    <col min="3" max="3" width="18.44140625" style="83" customWidth="1"/>
    <col min="4" max="4" width="12.44140625" style="83" customWidth="1"/>
    <col min="5" max="5" width="9.44140625" style="83" customWidth="1"/>
    <col min="6" max="8" width="10.6640625" style="83" customWidth="1"/>
    <col min="9" max="9" width="9.44140625" style="83" customWidth="1"/>
    <col min="10" max="10" width="16.21875" style="83" customWidth="1"/>
    <col min="11" max="12" width="12.44140625" style="83" customWidth="1"/>
    <col min="13" max="13" width="2.33203125" style="83" customWidth="1"/>
    <col min="14" max="15" width="8.88671875" style="83"/>
    <col min="16" max="16" width="11.109375" style="83" customWidth="1" outlineLevel="1"/>
    <col min="17" max="17" width="8.88671875" style="83" customWidth="1" outlineLevel="1"/>
    <col min="18" max="16384" width="8.88671875" style="83"/>
  </cols>
  <sheetData>
    <row r="1" spans="2:13" ht="15" thickBot="1"/>
    <row r="2" spans="2:13" ht="71.400000000000006" customHeight="1">
      <c r="B2" s="158"/>
      <c r="C2" s="244"/>
      <c r="D2" s="159"/>
      <c r="E2" s="159"/>
      <c r="F2" s="159"/>
      <c r="G2" s="159"/>
      <c r="H2" s="159"/>
      <c r="I2" s="159"/>
      <c r="J2" s="159"/>
      <c r="K2" s="159"/>
      <c r="L2" s="159"/>
      <c r="M2" s="160"/>
    </row>
    <row r="3" spans="2:13" ht="9" customHeight="1">
      <c r="B3" s="161"/>
      <c r="C3" s="15"/>
      <c r="D3" s="15"/>
      <c r="E3" s="15"/>
      <c r="F3" s="15"/>
      <c r="G3" s="15"/>
      <c r="H3" s="15"/>
      <c r="I3" s="15"/>
      <c r="J3" s="15"/>
      <c r="K3" s="15"/>
      <c r="L3" s="15"/>
      <c r="M3" s="162"/>
    </row>
    <row r="4" spans="2:13" ht="29.4">
      <c r="B4" s="161"/>
      <c r="C4" s="163" t="s">
        <v>342</v>
      </c>
      <c r="D4" s="15"/>
      <c r="E4" s="15"/>
      <c r="F4" s="15"/>
      <c r="G4" s="15"/>
      <c r="H4" s="15"/>
      <c r="I4" s="15"/>
      <c r="J4" s="15"/>
      <c r="K4" s="15"/>
      <c r="L4" s="164" t="s">
        <v>343</v>
      </c>
      <c r="M4" s="162"/>
    </row>
    <row r="5" spans="2:13" ht="7.8" customHeight="1">
      <c r="B5" s="161"/>
      <c r="C5" s="15"/>
      <c r="D5" s="15"/>
      <c r="E5" s="15"/>
      <c r="F5" s="15"/>
      <c r="G5" s="15"/>
      <c r="H5" s="15"/>
      <c r="I5" s="15"/>
      <c r="J5" s="15"/>
      <c r="K5" s="15"/>
      <c r="L5" s="15"/>
      <c r="M5" s="162"/>
    </row>
    <row r="6" spans="2:13" ht="16.8">
      <c r="B6" s="161"/>
      <c r="C6" s="15"/>
      <c r="D6" s="15"/>
      <c r="E6" s="15"/>
      <c r="F6" s="15"/>
      <c r="G6" s="15"/>
      <c r="H6" s="15"/>
      <c r="I6" s="15"/>
      <c r="J6" s="15"/>
      <c r="K6" s="15"/>
      <c r="L6" s="15"/>
      <c r="M6" s="162"/>
    </row>
    <row r="7" spans="2:13" ht="16.8">
      <c r="B7" s="161"/>
      <c r="C7" s="165" t="s">
        <v>344</v>
      </c>
      <c r="D7" s="84"/>
      <c r="E7" s="84"/>
      <c r="F7" s="84"/>
      <c r="G7" s="84"/>
      <c r="H7" s="84"/>
      <c r="I7" s="84"/>
      <c r="J7" s="165" t="s">
        <v>416</v>
      </c>
      <c r="K7" s="165"/>
      <c r="L7" s="84"/>
      <c r="M7" s="162"/>
    </row>
    <row r="8" spans="2:13" ht="6" customHeight="1">
      <c r="B8" s="161"/>
      <c r="C8" s="84"/>
      <c r="D8" s="84"/>
      <c r="E8" s="84"/>
      <c r="F8" s="84"/>
      <c r="G8" s="84"/>
      <c r="H8" s="84"/>
      <c r="I8" s="84"/>
      <c r="J8" s="84"/>
      <c r="K8" s="84"/>
      <c r="L8" s="84"/>
      <c r="M8" s="162"/>
    </row>
    <row r="9" spans="2:13" ht="16.8">
      <c r="B9" s="161"/>
      <c r="C9" s="237" t="s">
        <v>345</v>
      </c>
      <c r="D9" s="84"/>
      <c r="E9" s="84"/>
      <c r="F9" s="84"/>
      <c r="G9" s="84"/>
      <c r="H9" s="84"/>
      <c r="I9" s="84"/>
      <c r="J9" s="239" t="s">
        <v>347</v>
      </c>
      <c r="K9" s="84"/>
      <c r="L9" s="166">
        <f>Model!$D$128</f>
        <v>0</v>
      </c>
      <c r="M9" s="162"/>
    </row>
    <row r="10" spans="2:13" ht="16.8">
      <c r="B10" s="161"/>
      <c r="C10" s="237" t="s">
        <v>409</v>
      </c>
      <c r="D10" s="84"/>
      <c r="E10" s="84"/>
      <c r="F10" s="84"/>
      <c r="G10" s="84"/>
      <c r="H10" s="84"/>
      <c r="I10" s="84"/>
      <c r="J10" s="239" t="s">
        <v>348</v>
      </c>
      <c r="K10" s="84"/>
      <c r="L10" s="166">
        <f>IF(ROUND(SUMPRODUCT(ABS(Model!$F$395:$M$395)),2)=0,0,1)</f>
        <v>0</v>
      </c>
      <c r="M10" s="162"/>
    </row>
    <row r="11" spans="2:13" ht="16.8">
      <c r="B11" s="161"/>
      <c r="C11" s="237" t="s">
        <v>410</v>
      </c>
      <c r="D11" s="84"/>
      <c r="E11" s="84"/>
      <c r="F11" s="84"/>
      <c r="G11" s="84"/>
      <c r="H11" s="84"/>
      <c r="I11" s="84"/>
      <c r="J11" s="84"/>
      <c r="K11" s="84"/>
      <c r="L11" s="84"/>
      <c r="M11" s="162"/>
    </row>
    <row r="12" spans="2:13" ht="16.8">
      <c r="B12" s="161"/>
      <c r="C12" s="237" t="s">
        <v>349</v>
      </c>
      <c r="D12" s="84"/>
      <c r="E12" s="84"/>
      <c r="F12" s="84"/>
      <c r="G12" s="84"/>
      <c r="H12" s="84"/>
      <c r="I12" s="84"/>
      <c r="J12" s="84"/>
      <c r="K12" s="84"/>
      <c r="L12" s="84"/>
      <c r="M12" s="162"/>
    </row>
    <row r="13" spans="2:13" ht="16.8">
      <c r="B13" s="16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62"/>
    </row>
    <row r="14" spans="2:13" ht="16.8">
      <c r="B14" s="161"/>
      <c r="C14" s="165" t="s">
        <v>418</v>
      </c>
      <c r="D14" s="15"/>
      <c r="E14" s="15"/>
      <c r="F14" s="15"/>
      <c r="G14" s="15"/>
      <c r="H14" s="15"/>
      <c r="I14" s="15"/>
      <c r="J14" s="15"/>
      <c r="K14" s="15"/>
      <c r="L14" s="15"/>
      <c r="M14" s="162"/>
    </row>
    <row r="15" spans="2:13" ht="7.8" customHeight="1">
      <c r="B15" s="16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2"/>
    </row>
    <row r="16" spans="2:13" ht="16.8">
      <c r="B16" s="161"/>
      <c r="C16" s="239" t="s">
        <v>419</v>
      </c>
      <c r="D16" s="227" t="s">
        <v>424</v>
      </c>
      <c r="E16" s="15"/>
      <c r="F16" s="15"/>
      <c r="G16" s="15"/>
      <c r="H16" s="15"/>
      <c r="I16" s="15"/>
      <c r="J16" s="15"/>
      <c r="K16" s="15"/>
      <c r="L16" s="15"/>
      <c r="M16" s="162"/>
    </row>
    <row r="17" spans="2:16" ht="16.8">
      <c r="B17" s="161"/>
      <c r="C17" s="239" t="s">
        <v>420</v>
      </c>
      <c r="D17" s="236" t="s">
        <v>422</v>
      </c>
      <c r="E17" s="15"/>
      <c r="F17" s="15"/>
      <c r="G17" s="15"/>
      <c r="H17" s="15"/>
      <c r="I17" s="15"/>
      <c r="J17" s="15"/>
      <c r="K17" s="15"/>
      <c r="L17" s="15"/>
      <c r="M17" s="162"/>
    </row>
    <row r="18" spans="2:16" ht="16.8">
      <c r="B18" s="161"/>
      <c r="C18" s="239" t="s">
        <v>421</v>
      </c>
      <c r="D18" s="235" t="s">
        <v>423</v>
      </c>
      <c r="E18" s="15"/>
      <c r="F18" s="15"/>
      <c r="G18" s="15"/>
      <c r="H18" s="15"/>
      <c r="I18" s="15"/>
      <c r="J18" s="15"/>
      <c r="K18" s="15"/>
      <c r="L18" s="15"/>
      <c r="M18" s="162"/>
    </row>
    <row r="19" spans="2:16" ht="16.8">
      <c r="B19" s="161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162"/>
      <c r="P19" s="230" t="s">
        <v>425</v>
      </c>
    </row>
    <row r="20" spans="2:16" ht="16.8">
      <c r="B20" s="161"/>
      <c r="C20" s="165" t="s">
        <v>346</v>
      </c>
      <c r="D20" s="84"/>
      <c r="E20" s="84"/>
      <c r="F20" s="84"/>
      <c r="G20" s="84"/>
      <c r="H20" s="84"/>
      <c r="I20" s="84"/>
      <c r="J20" s="84"/>
      <c r="K20" s="84"/>
      <c r="L20" s="84"/>
      <c r="M20" s="162"/>
      <c r="P20" s="231" t="s">
        <v>426</v>
      </c>
    </row>
    <row r="21" spans="2:16" ht="6.6" customHeight="1">
      <c r="B21" s="161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162"/>
      <c r="P21" s="229"/>
    </row>
    <row r="22" spans="2:16" ht="16.8">
      <c r="B22" s="161"/>
      <c r="C22" s="84" t="s">
        <v>417</v>
      </c>
      <c r="D22" s="238">
        <v>0</v>
      </c>
      <c r="E22" s="84"/>
      <c r="F22" s="84"/>
      <c r="G22" s="84"/>
      <c r="H22" s="84"/>
      <c r="I22" s="84"/>
      <c r="J22" s="84"/>
      <c r="K22" s="84"/>
      <c r="L22" s="84"/>
      <c r="M22" s="162"/>
      <c r="P22" s="232" t="s">
        <v>137</v>
      </c>
    </row>
    <row r="23" spans="2:16" ht="16.8">
      <c r="B23" s="161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162"/>
      <c r="P23" s="233">
        <v>1</v>
      </c>
    </row>
    <row r="24" spans="2:16" ht="16.8">
      <c r="B24" s="161"/>
      <c r="C24" s="228" t="str">
        <f>IF($D$22=1,"This model now has the circularity turned on. Please confirm the Excel settings below","")</f>
        <v/>
      </c>
      <c r="D24" s="228"/>
      <c r="E24" s="228"/>
      <c r="F24" s="228"/>
      <c r="G24" s="228"/>
      <c r="H24" s="228"/>
      <c r="I24" s="228"/>
      <c r="J24" s="228"/>
      <c r="K24" s="84"/>
      <c r="L24" s="84"/>
      <c r="M24" s="162"/>
      <c r="P24" s="234">
        <v>0</v>
      </c>
    </row>
    <row r="25" spans="2:16" ht="16.8">
      <c r="B25" s="161"/>
      <c r="C25" s="228" t="str">
        <f>IF($D$22=1,"PC","")</f>
        <v/>
      </c>
      <c r="D25" s="228" t="str">
        <f>IF($D$22=1,"File - Options - Formulas - Check the box on the top-right labeled 'Enable iterative calculation'.","")</f>
        <v/>
      </c>
      <c r="E25" s="228"/>
      <c r="F25" s="228"/>
      <c r="G25" s="228"/>
      <c r="H25" s="228"/>
      <c r="I25" s="228"/>
      <c r="J25" s="228"/>
      <c r="K25" s="84"/>
      <c r="L25" s="84"/>
      <c r="M25" s="162"/>
    </row>
    <row r="26" spans="2:16" ht="16.8">
      <c r="B26" s="161"/>
      <c r="C26" s="228" t="str">
        <f>IF($D$22=1,"Mac","")</f>
        <v/>
      </c>
      <c r="D26" s="228" t="str">
        <f>IF($D$22=1,"Excel - Preferences - Calculation - Check the box near the bottom labeled 'Use iterative calculation'.","")</f>
        <v/>
      </c>
      <c r="E26" s="228"/>
      <c r="F26" s="228"/>
      <c r="G26" s="228"/>
      <c r="H26" s="228"/>
      <c r="I26" s="228"/>
      <c r="J26" s="228"/>
      <c r="K26" s="84"/>
      <c r="L26" s="84"/>
      <c r="M26" s="162"/>
    </row>
    <row r="27" spans="2:16" ht="16.8">
      <c r="B27" s="16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62"/>
    </row>
    <row r="28" spans="2:16" ht="16.8">
      <c r="B28" s="161"/>
      <c r="C28" s="241" t="s">
        <v>427</v>
      </c>
      <c r="D28" s="82"/>
      <c r="E28" s="82"/>
      <c r="F28" s="82"/>
      <c r="G28" s="82"/>
      <c r="H28" s="82"/>
      <c r="I28" s="82"/>
      <c r="J28" s="82"/>
      <c r="K28" s="82"/>
      <c r="L28" s="82"/>
      <c r="M28" s="162"/>
    </row>
    <row r="29" spans="2:16" ht="16.8">
      <c r="B29" s="161"/>
      <c r="C29" s="242" t="s">
        <v>428</v>
      </c>
      <c r="D29" s="82"/>
      <c r="E29" s="82"/>
      <c r="F29" s="82"/>
      <c r="G29" s="82"/>
      <c r="H29" s="82"/>
      <c r="I29" s="82"/>
      <c r="J29" s="82"/>
      <c r="K29" s="82"/>
      <c r="L29" s="82"/>
      <c r="M29" s="162"/>
    </row>
    <row r="30" spans="2:16" ht="16.8">
      <c r="B30" s="161"/>
      <c r="C30" s="242" t="s">
        <v>429</v>
      </c>
      <c r="D30" s="82"/>
      <c r="E30" s="82"/>
      <c r="F30" s="82"/>
      <c r="G30" s="82"/>
      <c r="H30" s="82"/>
      <c r="I30" s="82"/>
      <c r="J30" s="82"/>
      <c r="K30" s="82"/>
      <c r="L30" s="82"/>
      <c r="M30" s="162"/>
    </row>
    <row r="31" spans="2:16" ht="16.8">
      <c r="B31" s="161"/>
      <c r="C31" s="242" t="s">
        <v>430</v>
      </c>
      <c r="D31" s="82"/>
      <c r="E31" s="82"/>
      <c r="F31" s="82"/>
      <c r="G31" s="82"/>
      <c r="H31" s="82"/>
      <c r="I31" s="82"/>
      <c r="J31" s="82"/>
      <c r="K31" s="82"/>
      <c r="L31" s="82"/>
      <c r="M31" s="162"/>
    </row>
    <row r="32" spans="2:16" ht="16.8">
      <c r="B32" s="161"/>
      <c r="C32" s="243" t="s">
        <v>431</v>
      </c>
      <c r="D32" s="82"/>
      <c r="E32" s="82"/>
      <c r="F32" s="82"/>
      <c r="G32" s="82"/>
      <c r="H32" s="82"/>
      <c r="I32" s="82"/>
      <c r="J32" s="82"/>
      <c r="K32" s="82"/>
      <c r="L32" s="82"/>
      <c r="M32" s="162"/>
    </row>
    <row r="33" spans="2:13" ht="16.8">
      <c r="B33" s="161"/>
      <c r="C33" s="242" t="s">
        <v>432</v>
      </c>
      <c r="D33" s="82"/>
      <c r="E33" s="82"/>
      <c r="F33" s="82"/>
      <c r="G33" s="82"/>
      <c r="H33" s="82"/>
      <c r="I33" s="82"/>
      <c r="J33" s="82"/>
      <c r="K33" s="82"/>
      <c r="L33" s="82"/>
      <c r="M33" s="162"/>
    </row>
    <row r="34" spans="2:13" ht="16.8">
      <c r="B34" s="161"/>
      <c r="C34" s="243" t="s">
        <v>433</v>
      </c>
      <c r="D34" s="82"/>
      <c r="E34" s="82"/>
      <c r="F34" s="82"/>
      <c r="G34" s="82"/>
      <c r="H34" s="82"/>
      <c r="I34" s="82"/>
      <c r="J34" s="82"/>
      <c r="K34" s="82"/>
      <c r="L34" s="82"/>
      <c r="M34" s="162"/>
    </row>
    <row r="35" spans="2:13" ht="16.8">
      <c r="B35" s="161"/>
      <c r="C35" s="243" t="s">
        <v>434</v>
      </c>
      <c r="D35" s="82"/>
      <c r="E35" s="82"/>
      <c r="F35" s="82"/>
      <c r="G35" s="82"/>
      <c r="H35" s="82"/>
      <c r="I35" s="82"/>
      <c r="J35" s="82"/>
      <c r="K35" s="82"/>
      <c r="L35" s="82"/>
      <c r="M35" s="162"/>
    </row>
    <row r="36" spans="2:13" ht="16.8">
      <c r="B36" s="161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162"/>
    </row>
    <row r="37" spans="2:13" ht="17.399999999999999" thickBot="1">
      <c r="B37" s="167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9"/>
    </row>
  </sheetData>
  <sheetProtection selectLockedCells="1"/>
  <dataValidations count="1">
    <dataValidation type="list" allowBlank="1" showInputMessage="1" showErrorMessage="1" sqref="D22" xr:uid="{D1F3BBDE-914F-415C-9AC5-4D8DBDCDAFC5}">
      <formula1>$P$23:$P$24</formula1>
    </dataValidation>
  </dataValidations>
  <hyperlinks>
    <hyperlink ref="C9" location="Dashboard!A1" display="Dashboard" xr:uid="{12427368-7482-4E55-9204-75B1BD9B1351}"/>
    <hyperlink ref="C10" location="Output!A1" display="Ouput" xr:uid="{32A004D7-FB21-40B7-85D2-030C34A600C3}"/>
    <hyperlink ref="C11" location="Input!A1" display="Input" xr:uid="{336C66E6-2E7C-4ECB-97D1-1A41720C0F52}"/>
    <hyperlink ref="C12" location="Model!A1" display="Model" xr:uid="{DAFB797A-5E74-4BEC-B44B-1DEFE166DFAF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FD47-B594-4667-9908-25185E26807E}">
  <dimension ref="A1:Q169"/>
  <sheetViews>
    <sheetView showGridLines="0" zoomScaleNormal="100" workbookViewId="0">
      <pane ySplit="2" topLeftCell="A3" activePane="bottomLeft" state="frozen"/>
      <selection pane="bottomLeft" activeCell="S10" sqref="S10"/>
    </sheetView>
  </sheetViews>
  <sheetFormatPr defaultRowHeight="16.8"/>
  <cols>
    <col min="1" max="1" width="3.88671875" style="1" customWidth="1"/>
    <col min="2" max="17" width="11.6640625" style="1" customWidth="1"/>
    <col min="18" max="16384" width="8.88671875" style="1"/>
  </cols>
  <sheetData>
    <row r="1" spans="1:17" ht="56.4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4" t="s">
        <v>352</v>
      </c>
    </row>
    <row r="2" spans="1:17">
      <c r="A2" s="1" t="s">
        <v>61</v>
      </c>
      <c r="B2" s="172" t="str">
        <f>"Nestlé S.A.  |  CHF millions  | Model Scenario: "</f>
        <v xml:space="preserve">Nestlé S.A.  |  CHF millions  | Model Scenario: </v>
      </c>
      <c r="C2" s="172"/>
      <c r="D2" s="172"/>
      <c r="E2" s="172"/>
      <c r="F2" s="178">
        <v>2</v>
      </c>
      <c r="G2" s="5"/>
      <c r="H2" s="5"/>
      <c r="I2" s="6"/>
      <c r="J2" s="6"/>
      <c r="K2" s="6"/>
      <c r="L2" s="6"/>
      <c r="M2" s="6"/>
      <c r="N2" s="6"/>
      <c r="O2" s="105" t="s">
        <v>351</v>
      </c>
      <c r="P2" s="173" t="s">
        <v>484</v>
      </c>
      <c r="Q2" s="6"/>
    </row>
    <row r="3" spans="1:17">
      <c r="I3" s="171"/>
    </row>
    <row r="4" spans="1:17">
      <c r="A4" s="1" t="s">
        <v>61</v>
      </c>
      <c r="B4" s="106" t="s">
        <v>350</v>
      </c>
      <c r="C4" s="107"/>
      <c r="D4" s="107"/>
      <c r="E4" s="107"/>
      <c r="F4" s="108"/>
      <c r="G4" s="108"/>
      <c r="H4" s="108"/>
      <c r="I4" s="109"/>
      <c r="J4" s="109"/>
      <c r="K4" s="109"/>
      <c r="L4" s="109"/>
      <c r="M4" s="109"/>
      <c r="N4" s="109"/>
      <c r="O4" s="109"/>
      <c r="P4" s="109"/>
      <c r="Q4" s="109"/>
    </row>
    <row r="5" spans="1:17" ht="17.399999999999999" thickBot="1"/>
    <row r="6" spans="1:17">
      <c r="B6" s="110" t="s">
        <v>379</v>
      </c>
      <c r="C6" s="111"/>
      <c r="D6" s="110" t="s">
        <v>380</v>
      </c>
      <c r="E6" s="111"/>
      <c r="F6" s="110" t="s">
        <v>381</v>
      </c>
      <c r="G6" s="111"/>
      <c r="H6" s="110" t="s">
        <v>382</v>
      </c>
      <c r="I6" s="111"/>
      <c r="J6" s="110" t="s">
        <v>288</v>
      </c>
      <c r="K6" s="111"/>
      <c r="L6" s="110" t="s">
        <v>353</v>
      </c>
      <c r="M6" s="111"/>
      <c r="N6" s="110" t="s">
        <v>383</v>
      </c>
      <c r="O6" s="111"/>
      <c r="P6" s="110" t="s">
        <v>384</v>
      </c>
      <c r="Q6" s="111"/>
    </row>
    <row r="7" spans="1:17" ht="37.799999999999997" customHeight="1">
      <c r="B7" s="112">
        <f>$P$101</f>
        <v>90315.187290000002</v>
      </c>
      <c r="C7" s="113"/>
      <c r="D7" s="114">
        <f>$P$104</f>
        <v>0.1752638916550488</v>
      </c>
      <c r="E7" s="115"/>
      <c r="F7" s="112">
        <f>$P$107</f>
        <v>9486.3322980000012</v>
      </c>
      <c r="G7" s="113"/>
      <c r="H7" s="112">
        <f>$P$126</f>
        <v>8966.7166504139841</v>
      </c>
      <c r="I7" s="113"/>
      <c r="J7" s="114">
        <f>$P$108</f>
        <v>0.27603888013428618</v>
      </c>
      <c r="K7" s="115"/>
      <c r="L7" s="114">
        <f>$P$110</f>
        <v>0.10907625809401283</v>
      </c>
      <c r="M7" s="115"/>
      <c r="N7" s="116">
        <f>$P$127</f>
        <v>3.3157316798558369</v>
      </c>
      <c r="O7" s="117"/>
      <c r="P7" s="118">
        <f>$P$114</f>
        <v>-14.179844652459678</v>
      </c>
      <c r="Q7" s="119"/>
    </row>
    <row r="8" spans="1:17">
      <c r="B8" s="120" t="str">
        <f>IF(ISNUMBER($Q$101),IF($P$101&gt;=$Q$101,"▲ ","▼ ")&amp;TEXT(ABS($P$101/$Q$101-1),"0.0%")&amp;" vs "&amp;$Q$99,"n.a.")</f>
        <v>▲ 0.5% vs 2025A</v>
      </c>
      <c r="C8" s="121"/>
      <c r="D8" s="120" t="str">
        <f>IF(ISNUMBER($Q$104),IF($P$104&gt;=$Q$104,"▲ ","▼ ")&amp;TEXT(ABS($P$104-$Q$104)*100,"0.0")&amp;" pp vs "&amp;$Q$99,"n.a.")</f>
        <v>▼ 0.2 pp vs 2025A</v>
      </c>
      <c r="E8" s="121"/>
      <c r="F8" s="120" t="str">
        <f>IF(ISNUMBER($Q$107),IF($P$107&gt;=$Q$107,"▲ ","▼ ")&amp;TEXT(ABS($P$107/$Q$107-1),"0.0%")&amp;" vs "&amp;$Q$99,"n.a.")</f>
        <v>▲ 2.5% vs 2025A</v>
      </c>
      <c r="G8" s="121"/>
      <c r="H8" s="120" t="str">
        <f>IF(ISNUMBER($Q$126),IF($P$126&gt;=$Q$126,"▲ ","▼ ")&amp;TEXT(ABS($P$126/$Q$126-1),"0.0%")&amp;" vs "&amp;$Q$99,"n.a.")</f>
        <v>▼ 18.4% vs 2025A</v>
      </c>
      <c r="I8" s="121"/>
      <c r="J8" s="120" t="str">
        <f>IF(ISNUMBER($Q$108),IF($P$108&gt;=$Q$108,"▲ ","▼ ")&amp;TEXT(ABS($P$108-$Q$108)*100,"0.0")&amp;" pp vs "&amp;$Q$99,"n.a.")</f>
        <v>▼ 0.4 pp vs 2025A</v>
      </c>
      <c r="K8" s="121"/>
      <c r="L8" s="120" t="str">
        <f>IF(ISNUMBER($Q$110),IF($P$110&gt;=$Q$110,"▲ ","▼ ")&amp;TEXT(ABS($P$110-$Q$110)*100,"0.0")&amp;" pp vs "&amp;$Q$99,"n.a.")</f>
        <v>▲ 0.2 pp vs 2025A</v>
      </c>
      <c r="M8" s="121"/>
      <c r="N8" s="120" t="str">
        <f>IF(ISNUMBER($Q$127),IF($P$127&gt;=$Q$127,"▲ ","▼ ")&amp;TEXT(ABS($P$127-$Q$127),"0.00")&amp;"x vs "&amp;$Q$99,"n.a.")</f>
        <v>▼ 0.03x vs 2025A</v>
      </c>
      <c r="O8" s="121"/>
      <c r="P8" s="120" t="str">
        <f>IF(ISNUMBER($Q$114),IF($P$114&gt;=$Q$114,"▲ ","▼ ")&amp;TEXT(ABS($P$114-$Q$114),"0.0")&amp;" days vs "&amp;$Q$99,"n.a.")</f>
        <v>▼ 3.0 days vs 2025A</v>
      </c>
      <c r="Q8" s="121"/>
    </row>
    <row r="10" spans="1:17">
      <c r="A10" s="1" t="s">
        <v>61</v>
      </c>
      <c r="B10" s="122" t="s">
        <v>394</v>
      </c>
      <c r="C10" s="123"/>
      <c r="D10" s="123"/>
      <c r="E10" s="123"/>
      <c r="F10" s="124"/>
      <c r="G10" s="124"/>
      <c r="H10" s="124"/>
      <c r="I10" s="125"/>
      <c r="J10" s="125" t="s">
        <v>396</v>
      </c>
      <c r="K10" s="125"/>
      <c r="L10" s="125"/>
      <c r="M10" s="125"/>
      <c r="N10" s="125"/>
      <c r="O10" s="125"/>
      <c r="P10" s="125"/>
      <c r="Q10" s="125"/>
    </row>
    <row r="30" spans="1:17">
      <c r="A30" s="1" t="s">
        <v>61</v>
      </c>
      <c r="B30" s="125" t="s">
        <v>385</v>
      </c>
      <c r="C30" s="123"/>
      <c r="D30" s="123"/>
      <c r="E30" s="123"/>
      <c r="F30" s="124"/>
      <c r="G30" s="124"/>
      <c r="H30" s="124"/>
      <c r="I30" s="125"/>
      <c r="J30" s="125" t="s">
        <v>386</v>
      </c>
      <c r="K30" s="125"/>
      <c r="L30" s="125"/>
      <c r="M30" s="125"/>
      <c r="N30" s="125"/>
      <c r="O30" s="125"/>
      <c r="P30" s="125"/>
      <c r="Q30" s="125"/>
    </row>
    <row r="50" spans="1:17">
      <c r="A50" s="1" t="s">
        <v>61</v>
      </c>
      <c r="B50" s="122" t="s">
        <v>390</v>
      </c>
      <c r="C50" s="123"/>
      <c r="D50" s="123"/>
      <c r="E50" s="123"/>
      <c r="F50" s="124"/>
      <c r="G50" s="124"/>
      <c r="H50" s="124"/>
      <c r="I50" s="125"/>
      <c r="J50" s="125" t="s">
        <v>400</v>
      </c>
      <c r="K50" s="125"/>
      <c r="L50" s="125"/>
      <c r="M50" s="125"/>
      <c r="N50" s="125"/>
      <c r="O50" s="125"/>
      <c r="P50" s="125"/>
      <c r="Q50" s="125"/>
    </row>
    <row r="70" spans="1:17">
      <c r="A70" s="1" t="s">
        <v>61</v>
      </c>
      <c r="B70" s="122" t="s">
        <v>404</v>
      </c>
      <c r="C70" s="123"/>
      <c r="D70" s="123"/>
      <c r="E70" s="123"/>
      <c r="F70" s="124"/>
      <c r="G70" s="124"/>
      <c r="H70" s="124"/>
      <c r="I70" s="125"/>
      <c r="J70" s="125" t="s">
        <v>405</v>
      </c>
      <c r="K70" s="125"/>
      <c r="L70" s="125"/>
      <c r="M70" s="125"/>
      <c r="N70" s="125"/>
      <c r="O70" s="125"/>
      <c r="P70" s="125"/>
      <c r="Q70" s="125"/>
    </row>
    <row r="72" spans="1:17">
      <c r="B72" s="126" t="s">
        <v>401</v>
      </c>
      <c r="J72" s="126" t="s">
        <v>401</v>
      </c>
    </row>
    <row r="73" spans="1:17">
      <c r="B73" s="74" t="s">
        <v>402</v>
      </c>
      <c r="C73" s="75"/>
      <c r="D73" s="174">
        <v>0.01</v>
      </c>
      <c r="J73" s="74" t="s">
        <v>17</v>
      </c>
      <c r="K73" s="75"/>
      <c r="L73" s="175">
        <v>2</v>
      </c>
    </row>
    <row r="74" spans="1:17">
      <c r="B74" s="76" t="s">
        <v>403</v>
      </c>
      <c r="C74" s="73"/>
      <c r="D74" s="176">
        <v>0.02</v>
      </c>
      <c r="J74" s="76" t="s">
        <v>20</v>
      </c>
      <c r="K74" s="73"/>
      <c r="L74" s="177">
        <v>5</v>
      </c>
    </row>
    <row r="77" spans="1:17">
      <c r="D77" s="127" t="s">
        <v>406</v>
      </c>
      <c r="E77" s="128"/>
      <c r="F77" s="128"/>
      <c r="G77" s="128"/>
      <c r="H77" s="128"/>
      <c r="L77" s="127" t="s">
        <v>407</v>
      </c>
      <c r="M77" s="128"/>
      <c r="N77" s="128"/>
      <c r="O77" s="128"/>
      <c r="P77" s="128"/>
    </row>
    <row r="79" spans="1:17">
      <c r="D79" s="129" t="s">
        <v>330</v>
      </c>
      <c r="E79" s="130"/>
      <c r="F79" s="130"/>
      <c r="G79" s="130"/>
      <c r="H79" s="130"/>
      <c r="L79" s="129" t="s">
        <v>17</v>
      </c>
      <c r="M79" s="130"/>
      <c r="N79" s="130"/>
      <c r="O79" s="130"/>
      <c r="P79" s="130"/>
    </row>
    <row r="80" spans="1:17">
      <c r="C80" s="131">
        <f>$P$126</f>
        <v>8966.7166504139841</v>
      </c>
      <c r="D80" s="132">
        <f>E80-$D$73</f>
        <v>-1.5214025810758241E-2</v>
      </c>
      <c r="E80" s="132">
        <f>F80-$D$73</f>
        <v>-5.2140258107582407E-3</v>
      </c>
      <c r="F80" s="132">
        <f>$P$100</f>
        <v>4.7859741892417595E-3</v>
      </c>
      <c r="G80" s="132">
        <f>F80+$D$73</f>
        <v>1.478597418924176E-2</v>
      </c>
      <c r="H80" s="132">
        <f>G80+$D$73</f>
        <v>2.478597418924176E-2</v>
      </c>
      <c r="K80" s="131">
        <f>$P$124</f>
        <v>4210.2724180007335</v>
      </c>
      <c r="L80" s="133">
        <f>M80+$L$73</f>
        <v>46.820155347540329</v>
      </c>
      <c r="M80" s="133">
        <f>N80+$L$73</f>
        <v>44.820155347540329</v>
      </c>
      <c r="N80" s="134">
        <f>$P$111</f>
        <v>42.820155347540329</v>
      </c>
      <c r="O80" s="133">
        <f>N80-$L$73</f>
        <v>40.820155347540329</v>
      </c>
      <c r="P80" s="133">
        <f>O80-$L$73</f>
        <v>38.820155347540329</v>
      </c>
    </row>
    <row r="81" spans="2:17" ht="16.8" customHeight="1">
      <c r="B81" s="297" t="s">
        <v>295</v>
      </c>
      <c r="C81" s="132">
        <f>C82+$D$74</f>
        <v>0.21526389165504878</v>
      </c>
      <c r="D81" s="135">
        <f t="shared" ref="D81:H86" si="0">$C$80+(($Q$101*(1+D$80)*$C81)-$P$102)*(1-$P$137)</f>
        <v>11434.321759496344</v>
      </c>
      <c r="E81" s="136">
        <f t="shared" si="0"/>
        <v>11582.341570492164</v>
      </c>
      <c r="F81" s="136">
        <f t="shared" si="0"/>
        <v>11730.361381487985</v>
      </c>
      <c r="G81" s="136">
        <f t="shared" si="0"/>
        <v>11878.381192483797</v>
      </c>
      <c r="H81" s="137">
        <f t="shared" si="0"/>
        <v>12026.401003479617</v>
      </c>
      <c r="J81" s="297" t="s">
        <v>20</v>
      </c>
      <c r="K81" s="133">
        <f>K82+$L$74</f>
        <v>160</v>
      </c>
      <c r="L81" s="135">
        <f t="shared" ref="L81:P86" si="1">$K$80-(L$80-$N$80)*$P$101/365-($K81-$K$83)*$P$142/365</f>
        <v>4555.8057030418295</v>
      </c>
      <c r="M81" s="136">
        <f t="shared" si="1"/>
        <v>5050.6834416171714</v>
      </c>
      <c r="N81" s="136">
        <f t="shared" si="1"/>
        <v>5545.5611801925143</v>
      </c>
      <c r="O81" s="136">
        <f t="shared" si="1"/>
        <v>6040.4389187678571</v>
      </c>
      <c r="P81" s="137">
        <f t="shared" si="1"/>
        <v>6535.316657343199</v>
      </c>
    </row>
    <row r="82" spans="2:17">
      <c r="B82" s="297"/>
      <c r="C82" s="132">
        <f>C83+$D$74</f>
        <v>0.19526389165504879</v>
      </c>
      <c r="D82" s="138">
        <f t="shared" si="0"/>
        <v>10080.004203959346</v>
      </c>
      <c r="E82" s="139">
        <f t="shared" si="0"/>
        <v>10214.271609955165</v>
      </c>
      <c r="F82" s="139">
        <f t="shared" si="0"/>
        <v>10348.539015950984</v>
      </c>
      <c r="G82" s="139">
        <f t="shared" si="0"/>
        <v>10482.8064219468</v>
      </c>
      <c r="H82" s="140">
        <f t="shared" si="0"/>
        <v>10617.073827942619</v>
      </c>
      <c r="J82" s="297"/>
      <c r="K82" s="133">
        <f>K83+$L$74</f>
        <v>155</v>
      </c>
      <c r="L82" s="138">
        <f t="shared" si="1"/>
        <v>3888.1613219459391</v>
      </c>
      <c r="M82" s="139">
        <f t="shared" si="1"/>
        <v>4383.0390605212815</v>
      </c>
      <c r="N82" s="139">
        <f t="shared" si="1"/>
        <v>4877.9167990966234</v>
      </c>
      <c r="O82" s="139">
        <f t="shared" si="1"/>
        <v>5372.7945376719672</v>
      </c>
      <c r="P82" s="140">
        <f t="shared" si="1"/>
        <v>5867.6722762473091</v>
      </c>
    </row>
    <row r="83" spans="2:17">
      <c r="B83" s="297"/>
      <c r="C83" s="80">
        <f>$P$104</f>
        <v>0.1752638916550488</v>
      </c>
      <c r="D83" s="138">
        <f t="shared" si="0"/>
        <v>8725.6866484223465</v>
      </c>
      <c r="E83" s="139">
        <f t="shared" si="0"/>
        <v>8846.2016494181662</v>
      </c>
      <c r="F83" s="141">
        <f t="shared" si="0"/>
        <v>8966.7166504139841</v>
      </c>
      <c r="G83" s="139">
        <f t="shared" si="0"/>
        <v>9087.231651409802</v>
      </c>
      <c r="H83" s="140">
        <f t="shared" si="0"/>
        <v>9207.7466524056181</v>
      </c>
      <c r="J83" s="297"/>
      <c r="K83" s="133">
        <f>$P$113</f>
        <v>150</v>
      </c>
      <c r="L83" s="138">
        <f t="shared" si="1"/>
        <v>3220.5169408500487</v>
      </c>
      <c r="M83" s="139">
        <f t="shared" si="1"/>
        <v>3715.3946794253911</v>
      </c>
      <c r="N83" s="141">
        <f t="shared" si="1"/>
        <v>4210.2724180007335</v>
      </c>
      <c r="O83" s="139">
        <f t="shared" si="1"/>
        <v>4705.1501565760764</v>
      </c>
      <c r="P83" s="140">
        <f t="shared" si="1"/>
        <v>5200.0278951514183</v>
      </c>
    </row>
    <row r="84" spans="2:17">
      <c r="B84" s="297"/>
      <c r="C84" s="132">
        <f>C83-$D$74</f>
        <v>0.15526389165504881</v>
      </c>
      <c r="D84" s="138">
        <f t="shared" si="0"/>
        <v>7371.3690928853484</v>
      </c>
      <c r="E84" s="139">
        <f t="shared" si="0"/>
        <v>7478.1316888811662</v>
      </c>
      <c r="F84" s="139">
        <f t="shared" si="0"/>
        <v>7584.8942848769857</v>
      </c>
      <c r="G84" s="139">
        <f t="shared" si="0"/>
        <v>7691.6568808728025</v>
      </c>
      <c r="H84" s="140">
        <f t="shared" si="0"/>
        <v>7798.4194768686202</v>
      </c>
      <c r="J84" s="297"/>
      <c r="K84" s="133">
        <f>K83-$L$74</f>
        <v>145</v>
      </c>
      <c r="L84" s="138">
        <f t="shared" si="1"/>
        <v>2552.8725597541584</v>
      </c>
      <c r="M84" s="139">
        <f t="shared" si="1"/>
        <v>3047.7502983295008</v>
      </c>
      <c r="N84" s="139">
        <f t="shared" si="1"/>
        <v>3542.6280369048432</v>
      </c>
      <c r="O84" s="139">
        <f t="shared" si="1"/>
        <v>4037.505775480186</v>
      </c>
      <c r="P84" s="140">
        <f t="shared" si="1"/>
        <v>4532.3835140555275</v>
      </c>
    </row>
    <row r="85" spans="2:17">
      <c r="B85" s="297"/>
      <c r="C85" s="132">
        <f t="shared" ref="C85:C86" si="2">C84-$D$74</f>
        <v>0.13526389165504882</v>
      </c>
      <c r="D85" s="138">
        <f t="shared" si="0"/>
        <v>6017.0515373483495</v>
      </c>
      <c r="E85" s="139">
        <f t="shared" si="0"/>
        <v>6110.061728344167</v>
      </c>
      <c r="F85" s="139">
        <f t="shared" si="0"/>
        <v>6203.0719193399855</v>
      </c>
      <c r="G85" s="139">
        <f t="shared" si="0"/>
        <v>6296.0821103358012</v>
      </c>
      <c r="H85" s="140">
        <f t="shared" si="0"/>
        <v>6389.0923013316205</v>
      </c>
      <c r="J85" s="297"/>
      <c r="K85" s="133">
        <f t="shared" ref="K85:K86" si="3">K84-$L$74</f>
        <v>140</v>
      </c>
      <c r="L85" s="138">
        <f t="shared" si="1"/>
        <v>1885.228178658268</v>
      </c>
      <c r="M85" s="139">
        <f t="shared" si="1"/>
        <v>2380.1059172336104</v>
      </c>
      <c r="N85" s="139">
        <f t="shared" si="1"/>
        <v>2874.9836558089528</v>
      </c>
      <c r="O85" s="139">
        <f t="shared" si="1"/>
        <v>3369.8613943842956</v>
      </c>
      <c r="P85" s="140">
        <f t="shared" si="1"/>
        <v>3864.7391329596376</v>
      </c>
    </row>
    <row r="86" spans="2:17">
      <c r="B86" s="142"/>
      <c r="C86" s="132">
        <f t="shared" si="2"/>
        <v>0.11526389165504881</v>
      </c>
      <c r="D86" s="143">
        <f t="shared" si="0"/>
        <v>4662.7339818113496</v>
      </c>
      <c r="E86" s="144">
        <f t="shared" si="0"/>
        <v>4741.9917678071679</v>
      </c>
      <c r="F86" s="144">
        <f t="shared" si="0"/>
        <v>4821.2495538029852</v>
      </c>
      <c r="G86" s="144">
        <f t="shared" si="0"/>
        <v>4900.5073397988026</v>
      </c>
      <c r="H86" s="145">
        <f t="shared" si="0"/>
        <v>4979.76512579462</v>
      </c>
      <c r="J86" s="142"/>
      <c r="K86" s="133">
        <f t="shared" si="3"/>
        <v>135</v>
      </c>
      <c r="L86" s="143">
        <f t="shared" si="1"/>
        <v>1217.5837975623774</v>
      </c>
      <c r="M86" s="144">
        <f t="shared" si="1"/>
        <v>1712.4615361377198</v>
      </c>
      <c r="N86" s="144">
        <f t="shared" si="1"/>
        <v>2207.339274713062</v>
      </c>
      <c r="O86" s="144">
        <f t="shared" si="1"/>
        <v>2702.2170132884048</v>
      </c>
      <c r="P86" s="145">
        <f t="shared" si="1"/>
        <v>3197.0947518637468</v>
      </c>
    </row>
    <row r="88" spans="2:17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</row>
    <row r="98" spans="1:17">
      <c r="A98" s="1" t="s">
        <v>61</v>
      </c>
      <c r="B98" s="106" t="s">
        <v>377</v>
      </c>
      <c r="C98" s="107"/>
      <c r="D98" s="107"/>
      <c r="E98" s="107"/>
      <c r="F98" s="107"/>
      <c r="G98" s="107"/>
      <c r="H98" s="107"/>
      <c r="I98" s="107"/>
      <c r="J98" s="108"/>
      <c r="K98" s="108"/>
      <c r="L98" s="108"/>
      <c r="M98" s="109"/>
      <c r="N98" s="109"/>
      <c r="O98" s="109"/>
      <c r="P98" s="146" t="s">
        <v>387</v>
      </c>
      <c r="Q98" s="147" t="s">
        <v>388</v>
      </c>
    </row>
    <row r="99" spans="1:17" s="148" customFormat="1">
      <c r="B99" s="148" t="s">
        <v>354</v>
      </c>
      <c r="H99" s="148" t="str">
        <f>TEXT(Output!F2,"0")&amp;"A"</f>
        <v>2023A</v>
      </c>
      <c r="I99" s="148" t="str">
        <f>TEXT(Output!G2,"0")&amp;"A"</f>
        <v>2024A</v>
      </c>
      <c r="J99" s="148" t="str">
        <f>TEXT(Output!H2,"0")&amp;"A"</f>
        <v>2025A</v>
      </c>
      <c r="K99" s="148" t="str">
        <f>TEXT(Output!I2,"0")&amp;"F"</f>
        <v>2026F</v>
      </c>
      <c r="L99" s="148" t="str">
        <f>TEXT(Output!J2,"0")&amp;"F"</f>
        <v>2027F</v>
      </c>
      <c r="M99" s="148" t="str">
        <f>TEXT(Output!K2,"0")&amp;"F"</f>
        <v>2028F</v>
      </c>
      <c r="N99" s="148" t="str">
        <f>TEXT(Output!L2,"0")&amp;"F"</f>
        <v>2029F</v>
      </c>
      <c r="O99" s="148" t="str">
        <f>TEXT(Output!M2,"0")&amp;"F"</f>
        <v>2030F</v>
      </c>
      <c r="P99" s="149" t="str">
        <f>$P$2</f>
        <v>2026F</v>
      </c>
      <c r="Q99" s="150" t="str">
        <f>IF(MATCH($P$2,$H$99:$O$99,0)=1,"n.a.",INDEX($H$99:$O$99,MATCH($P$2,$H$99:$O$99,0)-1))</f>
        <v>2025A</v>
      </c>
    </row>
    <row r="100" spans="1:17" s="148" customFormat="1">
      <c r="B100" s="1" t="s">
        <v>330</v>
      </c>
      <c r="H100" s="80">
        <f>Output!F156</f>
        <v>0</v>
      </c>
      <c r="I100" s="80">
        <f>Output!G156</f>
        <v>-1.7471692858137544E-2</v>
      </c>
      <c r="J100" s="80">
        <f>Output!H156</f>
        <v>-2.0006541648495468E-2</v>
      </c>
      <c r="K100" s="80">
        <f>Output!I156</f>
        <v>4.7859741892417595E-3</v>
      </c>
      <c r="L100" s="80">
        <f>Output!J156</f>
        <v>1.510107548297146E-2</v>
      </c>
      <c r="M100" s="80">
        <f>Output!K156</f>
        <v>4.9999999999998934E-3</v>
      </c>
      <c r="N100" s="80">
        <f>Output!L156</f>
        <v>2.0101563277905132E-2</v>
      </c>
      <c r="O100" s="80">
        <f>Output!M156</f>
        <v>2.810234966148939E-2</v>
      </c>
      <c r="P100" s="151">
        <f t="shared" ref="P100:P114" si="4">INDEX($H100:$O100,MATCH($P$2,$H$99:$O$99,0))</f>
        <v>4.7859741892417595E-3</v>
      </c>
      <c r="Q100" s="152">
        <f t="shared" ref="Q100:Q114" si="5">IF(MATCH($P$2,$H$99:$O$99,0)=1,"n.a.",INDEX($H100:$O100,MATCH($P$2,$H$99:$O$99,0)-1))</f>
        <v>-2.0006541648495468E-2</v>
      </c>
    </row>
    <row r="101" spans="1:17">
      <c r="B101" s="1" t="s">
        <v>355</v>
      </c>
      <c r="H101" s="134">
        <f>Output!F9</f>
        <v>93351</v>
      </c>
      <c r="I101" s="134">
        <f>Output!G9</f>
        <v>91720</v>
      </c>
      <c r="J101" s="134">
        <f>Output!H9</f>
        <v>89885</v>
      </c>
      <c r="K101" s="134">
        <f>Output!I9</f>
        <v>90315.187290000002</v>
      </c>
      <c r="L101" s="134">
        <f>Output!J9</f>
        <v>91679.043750524987</v>
      </c>
      <c r="M101" s="134">
        <f>Output!K9</f>
        <v>92137.438969277602</v>
      </c>
      <c r="N101" s="134">
        <f>Output!L9</f>
        <v>93989.54552898265</v>
      </c>
      <c r="O101" s="134">
        <f>Output!M9</f>
        <v>96630.872601962605</v>
      </c>
      <c r="P101" s="138">
        <f t="shared" si="4"/>
        <v>90315.187290000002</v>
      </c>
      <c r="Q101" s="140">
        <f t="shared" si="5"/>
        <v>89885</v>
      </c>
    </row>
    <row r="102" spans="1:17">
      <c r="B102" s="1" t="s">
        <v>356</v>
      </c>
      <c r="H102" s="134">
        <f>Output!F14</f>
        <v>17521</v>
      </c>
      <c r="I102" s="134">
        <f>Output!G14</f>
        <v>18306</v>
      </c>
      <c r="J102" s="134">
        <f>Output!H14</f>
        <v>15910</v>
      </c>
      <c r="K102" s="134">
        <f>Output!I14</f>
        <v>15828.9912</v>
      </c>
      <c r="L102" s="134">
        <f>Output!J14</f>
        <v>16321.668551100003</v>
      </c>
      <c r="M102" s="134">
        <f>Output!K14</f>
        <v>16209.004896796938</v>
      </c>
      <c r="N102" s="134">
        <f>Output!L14</f>
        <v>16904.349371954348</v>
      </c>
      <c r="O102" s="134">
        <f>Output!M14</f>
        <v>17663.152522209217</v>
      </c>
      <c r="P102" s="138">
        <f t="shared" si="4"/>
        <v>15828.9912</v>
      </c>
      <c r="Q102" s="140">
        <f t="shared" si="5"/>
        <v>15910</v>
      </c>
    </row>
    <row r="103" spans="1:17">
      <c r="B103" s="1" t="s">
        <v>357</v>
      </c>
      <c r="H103" s="80">
        <f>Output!F83</f>
        <v>0.46087347752032654</v>
      </c>
      <c r="I103" s="80">
        <f>Output!G83</f>
        <v>0.46936327954644569</v>
      </c>
      <c r="J103" s="80">
        <f>Output!H83</f>
        <v>0.45826333648550927</v>
      </c>
      <c r="K103" s="80">
        <f>Output!I83</f>
        <v>0.46035610086813789</v>
      </c>
      <c r="L103" s="80">
        <f>Output!J83</f>
        <v>0.45842120832395067</v>
      </c>
      <c r="M103" s="80">
        <f>Output!K83</f>
        <v>0.45154072968183484</v>
      </c>
      <c r="N103" s="80">
        <f>Output!L83</f>
        <v>0.45247071140078787</v>
      </c>
      <c r="O103" s="80">
        <f>Output!M83</f>
        <v>0.45384055456804051</v>
      </c>
      <c r="P103" s="151">
        <f t="shared" si="4"/>
        <v>0.46035610086813789</v>
      </c>
      <c r="Q103" s="152">
        <f t="shared" si="5"/>
        <v>0.45826333648550927</v>
      </c>
    </row>
    <row r="104" spans="1:17">
      <c r="B104" s="1" t="s">
        <v>358</v>
      </c>
      <c r="H104" s="80">
        <f>Output!F86</f>
        <v>0.18768947306402717</v>
      </c>
      <c r="I104" s="80">
        <f>Output!G86</f>
        <v>0.19958569559529002</v>
      </c>
      <c r="J104" s="80">
        <f>Output!H86</f>
        <v>0.1770039494910163</v>
      </c>
      <c r="K104" s="80">
        <f>Output!I86</f>
        <v>0.1752638916550488</v>
      </c>
      <c r="L104" s="80">
        <f>Output!J86</f>
        <v>0.17803052784357318</v>
      </c>
      <c r="M104" s="80">
        <f>Output!K86</f>
        <v>0.175922025597018</v>
      </c>
      <c r="N104" s="80">
        <f>Output!L86</f>
        <v>0.17985350686414073</v>
      </c>
      <c r="O104" s="80">
        <f>Output!M86</f>
        <v>0.18278995156099287</v>
      </c>
      <c r="P104" s="151">
        <f t="shared" si="4"/>
        <v>0.1752638916550488</v>
      </c>
      <c r="Q104" s="152">
        <f t="shared" si="5"/>
        <v>0.1770039494910163</v>
      </c>
    </row>
    <row r="105" spans="1:17">
      <c r="B105" s="1" t="s">
        <v>359</v>
      </c>
      <c r="H105" s="80">
        <f>Output!F90</f>
        <v>0.15064648477252521</v>
      </c>
      <c r="I105" s="80">
        <f>Output!G90</f>
        <v>0.16053205407762755</v>
      </c>
      <c r="J105" s="80">
        <f>Output!H90</f>
        <v>0.13658563720309283</v>
      </c>
      <c r="K105" s="80">
        <f>Output!I90</f>
        <v>0.13711371887251941</v>
      </c>
      <c r="L105" s="80">
        <f>Output!J90</f>
        <v>0.1399904605394241</v>
      </c>
      <c r="M105" s="80">
        <f>Output!K90</f>
        <v>0.13769028658714197</v>
      </c>
      <c r="N105" s="80">
        <f>Output!L90</f>
        <v>0.14203662139680531</v>
      </c>
      <c r="O105" s="80">
        <f>Output!M90</f>
        <v>0.14512975317431226</v>
      </c>
      <c r="P105" s="151">
        <f t="shared" si="4"/>
        <v>0.13711371887251941</v>
      </c>
      <c r="Q105" s="152">
        <f t="shared" si="5"/>
        <v>0.13658563720309283</v>
      </c>
    </row>
    <row r="106" spans="1:17">
      <c r="B106" s="1" t="s">
        <v>360</v>
      </c>
      <c r="H106" s="80">
        <f>Output!F98</f>
        <v>0.12328737774635515</v>
      </c>
      <c r="I106" s="80">
        <f>Output!G98</f>
        <v>0.12182730047972089</v>
      </c>
      <c r="J106" s="80">
        <f>Output!H98</f>
        <v>0.1029537742671191</v>
      </c>
      <c r="K106" s="80">
        <f>Output!I98</f>
        <v>0.10503584815186846</v>
      </c>
      <c r="L106" s="80">
        <f>Output!J98</f>
        <v>0.10795114001199257</v>
      </c>
      <c r="M106" s="80">
        <f>Output!K98</f>
        <v>0.10696943681189264</v>
      </c>
      <c r="N106" s="80">
        <f>Output!L98</f>
        <v>0.11115228321582672</v>
      </c>
      <c r="O106" s="80">
        <f>Output!M98</f>
        <v>0.11436212159835223</v>
      </c>
      <c r="P106" s="151">
        <f t="shared" si="4"/>
        <v>0.10503584815186846</v>
      </c>
      <c r="Q106" s="152">
        <f t="shared" si="5"/>
        <v>0.1029537742671191</v>
      </c>
    </row>
    <row r="107" spans="1:17">
      <c r="B107" s="1" t="s">
        <v>361</v>
      </c>
      <c r="H107" s="134">
        <f>Output!F24</f>
        <v>11509</v>
      </c>
      <c r="I107" s="134">
        <f>Output!G24</f>
        <v>11174</v>
      </c>
      <c r="J107" s="134">
        <f>Output!H24</f>
        <v>9254</v>
      </c>
      <c r="K107" s="134">
        <f>Output!I24</f>
        <v>9486.3322980000012</v>
      </c>
      <c r="L107" s="134">
        <f>Output!J24</f>
        <v>9896.8572880785159</v>
      </c>
      <c r="M107" s="134">
        <f>Output!K24</f>
        <v>9855.8899558337544</v>
      </c>
      <c r="N107" s="134">
        <f>Output!L24</f>
        <v>10447.15258396432</v>
      </c>
      <c r="O107" s="134">
        <f>Output!M24</f>
        <v>11050.91160266053</v>
      </c>
      <c r="P107" s="138">
        <f t="shared" si="4"/>
        <v>9486.3322980000012</v>
      </c>
      <c r="Q107" s="140">
        <f t="shared" si="5"/>
        <v>9254</v>
      </c>
    </row>
    <row r="108" spans="1:17">
      <c r="B108" s="1" t="s">
        <v>362</v>
      </c>
      <c r="H108" s="80">
        <f>Output!F79</f>
        <v>0.31629428092450601</v>
      </c>
      <c r="I108" s="80">
        <f>Output!G79</f>
        <v>0.30452674897119342</v>
      </c>
      <c r="J108" s="80">
        <f>Output!H79</f>
        <v>0.27993224030491864</v>
      </c>
      <c r="K108" s="80">
        <f>Output!I79</f>
        <v>0.27603888013428618</v>
      </c>
      <c r="L108" s="80">
        <f>Output!J79</f>
        <v>0.27527672311781254</v>
      </c>
      <c r="M108" s="80">
        <f>Output!K79</f>
        <v>0.26374556106236963</v>
      </c>
      <c r="N108" s="80">
        <f>Output!L79</f>
        <v>0.26625670177201638</v>
      </c>
      <c r="O108" s="80">
        <f>Output!M79</f>
        <v>0.27928285542620879</v>
      </c>
      <c r="P108" s="151">
        <f t="shared" si="4"/>
        <v>0.27603888013428618</v>
      </c>
      <c r="Q108" s="152">
        <f t="shared" si="5"/>
        <v>0.27993224030491864</v>
      </c>
    </row>
    <row r="109" spans="1:17">
      <c r="B109" s="1" t="s">
        <v>363</v>
      </c>
      <c r="H109" s="80">
        <f>Output!F80</f>
        <v>9.0944290794152505E-2</v>
      </c>
      <c r="I109" s="80">
        <f>Output!G80</f>
        <v>8.023609834558823E-2</v>
      </c>
      <c r="J109" s="80">
        <f>Output!H80</f>
        <v>7.2779608496983894E-2</v>
      </c>
      <c r="K109" s="80">
        <f>Output!I80</f>
        <v>7.4576038950586704E-2</v>
      </c>
      <c r="L109" s="80">
        <f>Output!J80</f>
        <v>7.6819762717770898E-2</v>
      </c>
      <c r="M109" s="80">
        <f>Output!K80</f>
        <v>7.5324087678114077E-2</v>
      </c>
      <c r="N109" s="80">
        <f>Output!L80</f>
        <v>7.7938368228482949E-2</v>
      </c>
      <c r="O109" s="80">
        <f>Output!M80</f>
        <v>8.139661486918337E-2</v>
      </c>
      <c r="P109" s="151">
        <f t="shared" si="4"/>
        <v>7.4576038950586704E-2</v>
      </c>
      <c r="Q109" s="152">
        <f t="shared" si="5"/>
        <v>7.2779608496983894E-2</v>
      </c>
    </row>
    <row r="110" spans="1:17">
      <c r="B110" s="1" t="s">
        <v>364</v>
      </c>
      <c r="H110" s="80">
        <f>Output!F82</f>
        <v>0.13248468064369334</v>
      </c>
      <c r="I110" s="80">
        <f>Output!G82</f>
        <v>0.11656412857303425</v>
      </c>
      <c r="J110" s="80">
        <f>Output!H82</f>
        <v>0.10728796896353371</v>
      </c>
      <c r="K110" s="80">
        <f>Output!I82</f>
        <v>0.10907625809401283</v>
      </c>
      <c r="L110" s="80">
        <f>Output!J82</f>
        <v>0.1124385130895964</v>
      </c>
      <c r="M110" s="80">
        <f>Output!K82</f>
        <v>0.11067381729082842</v>
      </c>
      <c r="N110" s="80">
        <f>Output!L82</f>
        <v>0.1155830272112458</v>
      </c>
      <c r="O110" s="80">
        <f>Output!M82</f>
        <v>0.11997637441010665</v>
      </c>
      <c r="P110" s="151">
        <f t="shared" si="4"/>
        <v>0.10907625809401283</v>
      </c>
      <c r="Q110" s="152">
        <f t="shared" si="5"/>
        <v>0.10728796896353371</v>
      </c>
    </row>
    <row r="111" spans="1:17">
      <c r="B111" s="1" t="s">
        <v>17</v>
      </c>
      <c r="H111" s="134">
        <f>Output!F118</f>
        <v>42.990166147122153</v>
      </c>
      <c r="I111" s="134">
        <f>Output!G118</f>
        <v>44.773386393371126</v>
      </c>
      <c r="J111" s="134">
        <f>Output!H118</f>
        <v>42.885520387161371</v>
      </c>
      <c r="K111" s="134">
        <f>Output!I118</f>
        <v>42.820155347540329</v>
      </c>
      <c r="L111" s="134">
        <f>Output!J118</f>
        <v>42.815891665836908</v>
      </c>
      <c r="M111" s="134">
        <f>Output!K118</f>
        <v>42.318032460420191</v>
      </c>
      <c r="N111" s="134">
        <f>Output!L118</f>
        <v>41.816009557945044</v>
      </c>
      <c r="O111" s="134">
        <f>Output!M118</f>
        <v>41.811846689895468</v>
      </c>
      <c r="P111" s="138">
        <f t="shared" si="4"/>
        <v>42.820155347540329</v>
      </c>
      <c r="Q111" s="140">
        <f t="shared" si="5"/>
        <v>42.885520387161371</v>
      </c>
    </row>
    <row r="112" spans="1:17">
      <c r="B112" s="1" t="s">
        <v>19</v>
      </c>
      <c r="H112" s="134">
        <f>Output!F120</f>
        <v>86.274837068828489</v>
      </c>
      <c r="I112" s="134">
        <f>Output!G120</f>
        <v>99.443188822683382</v>
      </c>
      <c r="J112" s="134">
        <f>Output!H120</f>
        <v>96.043557727851478</v>
      </c>
      <c r="K112" s="134">
        <f>Output!I120</f>
        <v>93</v>
      </c>
      <c r="L112" s="134">
        <f>Output!J120</f>
        <v>91.000000000000014</v>
      </c>
      <c r="M112" s="134">
        <f>Output!K120</f>
        <v>89</v>
      </c>
      <c r="N112" s="134">
        <f>Output!L120</f>
        <v>88</v>
      </c>
      <c r="O112" s="134">
        <f>Output!M120</f>
        <v>86.999999999999986</v>
      </c>
      <c r="P112" s="138">
        <f t="shared" si="4"/>
        <v>93</v>
      </c>
      <c r="Q112" s="140">
        <f t="shared" si="5"/>
        <v>96.043557727851478</v>
      </c>
    </row>
    <row r="113" spans="2:17">
      <c r="B113" s="1" t="s">
        <v>20</v>
      </c>
      <c r="H113" s="134">
        <f>Output!F122</f>
        <v>139.27555237641076</v>
      </c>
      <c r="I113" s="134">
        <f>Output!G122</f>
        <v>163.5412985411958</v>
      </c>
      <c r="J113" s="134">
        <f>Output!H122</f>
        <v>150.08820388548898</v>
      </c>
      <c r="K113" s="134">
        <f>Output!I122</f>
        <v>150</v>
      </c>
      <c r="L113" s="134">
        <f>Output!J122</f>
        <v>150</v>
      </c>
      <c r="M113" s="134">
        <f>Output!K122</f>
        <v>150</v>
      </c>
      <c r="N113" s="134">
        <f>Output!L122</f>
        <v>150</v>
      </c>
      <c r="O113" s="134">
        <f>Output!M122</f>
        <v>150</v>
      </c>
      <c r="P113" s="138">
        <f t="shared" si="4"/>
        <v>150</v>
      </c>
      <c r="Q113" s="140">
        <f t="shared" si="5"/>
        <v>150.08820388548898</v>
      </c>
    </row>
    <row r="114" spans="2:17">
      <c r="B114" s="1" t="s">
        <v>399</v>
      </c>
      <c r="H114" s="134">
        <f>Output!F123</f>
        <v>-10.01054916046013</v>
      </c>
      <c r="I114" s="134">
        <f>Output!G123</f>
        <v>-19.324723325141292</v>
      </c>
      <c r="J114" s="134">
        <f>Output!H123</f>
        <v>-11.159125770476123</v>
      </c>
      <c r="K114" s="134">
        <f>Output!I123</f>
        <v>-14.179844652459678</v>
      </c>
      <c r="L114" s="134">
        <f>Output!J123</f>
        <v>-16.184108334163085</v>
      </c>
      <c r="M114" s="134">
        <f>Output!K123</f>
        <v>-18.681967539579801</v>
      </c>
      <c r="N114" s="134">
        <f>Output!L123</f>
        <v>-20.183990442054949</v>
      </c>
      <c r="O114" s="134">
        <f>Output!M123</f>
        <v>-21.188153310104553</v>
      </c>
      <c r="P114" s="138">
        <f t="shared" si="4"/>
        <v>-14.179844652459678</v>
      </c>
      <c r="Q114" s="140">
        <f t="shared" si="5"/>
        <v>-11.159125770476123</v>
      </c>
    </row>
    <row r="115" spans="2:17" ht="4.8" customHeight="1">
      <c r="H115" s="134"/>
      <c r="I115" s="134"/>
      <c r="J115" s="134"/>
      <c r="K115" s="134"/>
      <c r="L115" s="134"/>
      <c r="M115" s="134"/>
      <c r="N115" s="134"/>
      <c r="O115" s="134"/>
      <c r="P115" s="138"/>
      <c r="Q115" s="140"/>
    </row>
    <row r="116" spans="2:17">
      <c r="B116" s="1" t="s">
        <v>194</v>
      </c>
      <c r="H116" s="134">
        <f>Output!F36</f>
        <v>15941</v>
      </c>
      <c r="I116" s="134">
        <f>Output!G36</f>
        <v>16675</v>
      </c>
      <c r="J116" s="134">
        <f>Output!H36</f>
        <v>15904</v>
      </c>
      <c r="K116" s="134">
        <f>Output!I36</f>
        <v>13733.401500413984</v>
      </c>
      <c r="L116" s="134">
        <f>Output!J36</f>
        <v>14174.144064994862</v>
      </c>
      <c r="M116" s="134">
        <f>Output!K36</f>
        <v>14255.556038281829</v>
      </c>
      <c r="N116" s="134">
        <f>Output!L36</f>
        <v>14599.323943189005</v>
      </c>
      <c r="O116" s="134">
        <f>Output!M36</f>
        <v>14942.688881250406</v>
      </c>
      <c r="P116" s="138">
        <f t="shared" ref="P116:P124" si="6">INDEX($H116:$O116,MATCH($P$2,$H$99:$O$99,0))</f>
        <v>13733.401500413984</v>
      </c>
      <c r="Q116" s="140">
        <f t="shared" ref="Q116:Q124" si="7">IF(MATCH($P$2,$H$99:$O$99,0)=1,"n.a.",INDEX($H116:$O116,MATCH($P$2,$H$99:$O$99,0)-1))</f>
        <v>15904</v>
      </c>
    </row>
    <row r="117" spans="2:17">
      <c r="B117" s="1" t="s">
        <v>108</v>
      </c>
      <c r="H117" s="134">
        <f>Model!F329</f>
        <v>5511</v>
      </c>
      <c r="I117" s="134">
        <f>Model!G329</f>
        <v>4816</v>
      </c>
      <c r="J117" s="134">
        <f>Model!H329</f>
        <v>5558</v>
      </c>
      <c r="K117" s="134">
        <f>Model!I329</f>
        <v>4579</v>
      </c>
      <c r="L117" s="134">
        <f>Model!J329</f>
        <v>4210.2724180007335</v>
      </c>
      <c r="M117" s="134">
        <f>Model!K329</f>
        <v>4760.177207196064</v>
      </c>
      <c r="N117" s="134">
        <f>Model!L329</f>
        <v>5805.7479694913472</v>
      </c>
      <c r="O117" s="134">
        <f>Model!M329</f>
        <v>7568.1546290048163</v>
      </c>
      <c r="P117" s="138">
        <f t="shared" si="6"/>
        <v>4579</v>
      </c>
      <c r="Q117" s="140">
        <f t="shared" si="7"/>
        <v>5558</v>
      </c>
    </row>
    <row r="118" spans="2:17">
      <c r="B118" s="1" t="s">
        <v>263</v>
      </c>
      <c r="H118" s="134">
        <f>Model!F287</f>
        <v>14063</v>
      </c>
      <c r="I118" s="134">
        <f>Model!G287</f>
        <v>14724</v>
      </c>
      <c r="J118" s="134">
        <f>Model!H287</f>
        <v>12277</v>
      </c>
      <c r="K118" s="134">
        <f>Model!I287</f>
        <v>12383.4512</v>
      </c>
      <c r="L118" s="134">
        <f>Model!J287</f>
        <v>12834.191556450005</v>
      </c>
      <c r="M118" s="134">
        <f>Model!K287</f>
        <v>12686.430377085137</v>
      </c>
      <c r="N118" s="134">
        <f>Model!L287</f>
        <v>13349.957493557908</v>
      </c>
      <c r="O118" s="134">
        <f>Model!M287</f>
        <v>14024.014689741245</v>
      </c>
      <c r="P118" s="138">
        <f t="shared" si="6"/>
        <v>12383.4512</v>
      </c>
      <c r="Q118" s="140">
        <f t="shared" si="7"/>
        <v>12277</v>
      </c>
    </row>
    <row r="119" spans="2:17">
      <c r="B119" s="1" t="s">
        <v>395</v>
      </c>
      <c r="H119" s="134">
        <f>SUM(Model!F288:F291)+Model!F326+Model!F331</f>
        <v>3726</v>
      </c>
      <c r="I119" s="134">
        <f>SUM(Model!G288:G291)+Model!G326+Model!G331</f>
        <v>4046</v>
      </c>
      <c r="J119" s="134">
        <f>SUM(Model!H288:H291)+Model!H326+Model!H331</f>
        <v>4452</v>
      </c>
      <c r="K119" s="134">
        <f>SUM(Model!I288:I291)+Model!I326+Model!I331</f>
        <v>4389.8832250000005</v>
      </c>
      <c r="L119" s="134">
        <f>SUM(Model!J288:J291)+Model!J326+Model!J331</f>
        <v>4270.2588329062501</v>
      </c>
      <c r="M119" s="134">
        <f>SUM(Model!K288:K291)+Model!K326+Model!K331</f>
        <v>4171.1971359746622</v>
      </c>
      <c r="N119" s="134">
        <f>SUM(Model!L288:L291)+Model!L326+Model!L331</f>
        <v>4094.8036918471362</v>
      </c>
      <c r="O119" s="134">
        <f>SUM(Model!M288:M291)+Model!M326+Model!M331</f>
        <v>4120.608730798308</v>
      </c>
      <c r="P119" s="138">
        <f t="shared" si="6"/>
        <v>4389.8832250000005</v>
      </c>
      <c r="Q119" s="140">
        <f t="shared" si="7"/>
        <v>4452</v>
      </c>
    </row>
    <row r="120" spans="2:17">
      <c r="B120" s="1" t="s">
        <v>398</v>
      </c>
      <c r="H120" s="134">
        <f>Model!F294+Model!F295</f>
        <v>709</v>
      </c>
      <c r="I120" s="134">
        <f>Model!G294+Model!G295</f>
        <v>874</v>
      </c>
      <c r="J120" s="134">
        <f>Model!H294+Model!H295</f>
        <v>-319</v>
      </c>
      <c r="K120" s="134">
        <f>Model!I294+Model!I295</f>
        <v>119.12222613698532</v>
      </c>
      <c r="L120" s="134">
        <f>Model!J294+Model!J295</f>
        <v>348.47536059198291</v>
      </c>
      <c r="M120" s="134">
        <f>Model!K294+Model!K295</f>
        <v>585.5828664604777</v>
      </c>
      <c r="N120" s="134">
        <f>Model!L294+Model!L295</f>
        <v>443.36926282632163</v>
      </c>
      <c r="O120" s="134">
        <f>Model!M294+Model!M295</f>
        <v>199.48765451615839</v>
      </c>
      <c r="P120" s="138">
        <f t="shared" si="6"/>
        <v>119.12222613698532</v>
      </c>
      <c r="Q120" s="140">
        <f t="shared" si="7"/>
        <v>-319</v>
      </c>
    </row>
    <row r="121" spans="2:17">
      <c r="B121" s="1" t="s">
        <v>397</v>
      </c>
      <c r="H121" s="134">
        <f>SUM(Model!F298:F301)</f>
        <v>-3239</v>
      </c>
      <c r="I121" s="134">
        <f>SUM(Model!G298:G301)</f>
        <v>-2918</v>
      </c>
      <c r="J121" s="134">
        <f>SUM(Model!H298:H301)</f>
        <v>-957</v>
      </c>
      <c r="K121" s="134">
        <f>SUM(Model!I298:I301)</f>
        <v>-3159.0551507230002</v>
      </c>
      <c r="L121" s="134">
        <f>SUM(Model!J298:J301)</f>
        <v>-3278.781684953377</v>
      </c>
      <c r="M121" s="134">
        <f>SUM(Model!K298:K301)</f>
        <v>-3187.6543412384485</v>
      </c>
      <c r="N121" s="134">
        <f>SUM(Model!L298:L301)</f>
        <v>-3288.8065050423629</v>
      </c>
      <c r="O121" s="134">
        <f>SUM(Model!M298:M301)</f>
        <v>-3401.422193805302</v>
      </c>
      <c r="P121" s="138">
        <f t="shared" si="6"/>
        <v>-3159.0551507230002</v>
      </c>
      <c r="Q121" s="140">
        <f t="shared" si="7"/>
        <v>-957</v>
      </c>
    </row>
    <row r="122" spans="2:17">
      <c r="B122" s="1" t="s">
        <v>269</v>
      </c>
      <c r="H122" s="134">
        <f>Output!F37</f>
        <v>-6196</v>
      </c>
      <c r="I122" s="134">
        <f>Output!G37</f>
        <v>-8624</v>
      </c>
      <c r="J122" s="134">
        <f>Output!H37</f>
        <v>-4367</v>
      </c>
      <c r="K122" s="134">
        <f>Output!I37</f>
        <v>-4766.6848499999996</v>
      </c>
      <c r="L122" s="134">
        <f>Output!J37</f>
        <v>-4746.8986109999996</v>
      </c>
      <c r="M122" s="134">
        <f>Output!K37</f>
        <v>-4770.6331040549985</v>
      </c>
      <c r="N122" s="134">
        <f>Output!L37</f>
        <v>-4819.2568645386373</v>
      </c>
      <c r="O122" s="134">
        <f>Output!M37</f>
        <v>-4954.1960567457181</v>
      </c>
      <c r="P122" s="138">
        <f t="shared" si="6"/>
        <v>-4766.6848499999996</v>
      </c>
      <c r="Q122" s="140">
        <f t="shared" si="7"/>
        <v>-4367</v>
      </c>
    </row>
    <row r="123" spans="2:17">
      <c r="B123" s="1" t="s">
        <v>270</v>
      </c>
      <c r="H123" s="134">
        <f>Output!F38</f>
        <v>-9758</v>
      </c>
      <c r="I123" s="134">
        <f>Output!G38</f>
        <v>-7362</v>
      </c>
      <c r="J123" s="134">
        <f>Output!H38</f>
        <v>-12065</v>
      </c>
      <c r="K123" s="134">
        <f>Output!I38</f>
        <v>-9335.4442324132506</v>
      </c>
      <c r="L123" s="134">
        <f>Output!J38</f>
        <v>-8877.3406647995325</v>
      </c>
      <c r="M123" s="134">
        <f>Output!K38</f>
        <v>-8439.3521719315468</v>
      </c>
      <c r="N123" s="134">
        <f>Output!L38</f>
        <v>-8017.6604191368997</v>
      </c>
      <c r="O123" s="134">
        <f>Output!M38</f>
        <v>-10152.276349459156</v>
      </c>
      <c r="P123" s="138">
        <f t="shared" si="6"/>
        <v>-9335.4442324132506</v>
      </c>
      <c r="Q123" s="140">
        <f t="shared" si="7"/>
        <v>-12065</v>
      </c>
    </row>
    <row r="124" spans="2:17">
      <c r="B124" s="1" t="s">
        <v>110</v>
      </c>
      <c r="H124" s="134">
        <f t="shared" ref="H124:O124" si="8">SUM(H117:H121)+SUM(H122:H123)</f>
        <v>4816</v>
      </c>
      <c r="I124" s="134">
        <f t="shared" si="8"/>
        <v>5556</v>
      </c>
      <c r="J124" s="134">
        <f t="shared" si="8"/>
        <v>4579</v>
      </c>
      <c r="K124" s="134">
        <f t="shared" si="8"/>
        <v>4210.2724180007335</v>
      </c>
      <c r="L124" s="134">
        <f t="shared" si="8"/>
        <v>4760.1772071960586</v>
      </c>
      <c r="M124" s="134">
        <f t="shared" si="8"/>
        <v>5805.7479694913418</v>
      </c>
      <c r="N124" s="134">
        <f t="shared" si="8"/>
        <v>7568.1546290048154</v>
      </c>
      <c r="O124" s="134">
        <f t="shared" si="8"/>
        <v>7404.3711040503513</v>
      </c>
      <c r="P124" s="138">
        <f t="shared" si="6"/>
        <v>4210.2724180007335</v>
      </c>
      <c r="Q124" s="140">
        <f t="shared" si="7"/>
        <v>4579</v>
      </c>
    </row>
    <row r="125" spans="2:17" ht="6.6" customHeight="1">
      <c r="H125" s="134"/>
      <c r="I125" s="134"/>
      <c r="J125" s="134"/>
      <c r="K125" s="134"/>
      <c r="L125" s="134"/>
      <c r="M125" s="134"/>
      <c r="N125" s="134"/>
      <c r="O125" s="134"/>
      <c r="P125" s="138"/>
      <c r="Q125" s="140"/>
    </row>
    <row r="126" spans="2:17">
      <c r="B126" s="1" t="s">
        <v>389</v>
      </c>
      <c r="H126" s="134">
        <f>Output!F36+Model!F305+Model!F306</f>
        <v>9738</v>
      </c>
      <c r="I126" s="134">
        <f>Output!G36+Model!G305+Model!G306</f>
        <v>10712</v>
      </c>
      <c r="J126" s="134">
        <f>Output!H36+Model!H305+Model!H306</f>
        <v>10993</v>
      </c>
      <c r="K126" s="134">
        <f>Output!I36+Model!I305+Model!I306</f>
        <v>8966.7166504139841</v>
      </c>
      <c r="L126" s="134">
        <f>Output!J36+Model!J305+Model!J306</f>
        <v>9427.2454539948612</v>
      </c>
      <c r="M126" s="134">
        <f>Output!K36+Model!K305+Model!K306</f>
        <v>9484.9229342268318</v>
      </c>
      <c r="N126" s="134">
        <f>Output!L36+Model!L305+Model!L306</f>
        <v>9780.067078650367</v>
      </c>
      <c r="O126" s="134">
        <f>Output!M36+Model!M305+Model!M306</f>
        <v>9988.4928245046867</v>
      </c>
      <c r="P126" s="138">
        <f t="shared" ref="P126:P139" si="9">INDEX($H126:$O126,MATCH($P$2,$H$99:$O$99,0))</f>
        <v>8966.7166504139841</v>
      </c>
      <c r="Q126" s="140">
        <f t="shared" ref="Q126:Q139" si="10">IF(MATCH($P$2,$H$99:$O$99,0)=1,"n.a.",INDEX($H126:$O126,MATCH($P$2,$H$99:$O$99,0)-1))</f>
        <v>10993</v>
      </c>
    </row>
    <row r="127" spans="2:17">
      <c r="B127" s="1" t="s">
        <v>365</v>
      </c>
      <c r="H127" s="153">
        <f>Output!F136</f>
        <v>2.8779750014268592</v>
      </c>
      <c r="I127" s="153">
        <f>Output!G136</f>
        <v>3.1685786081066318</v>
      </c>
      <c r="J127" s="153">
        <f>Output!H136</f>
        <v>3.348397234443746</v>
      </c>
      <c r="K127" s="153">
        <f>Output!I136</f>
        <v>3.3157316798558369</v>
      </c>
      <c r="L127" s="153">
        <f>Output!J136</f>
        <v>3.1472170282089196</v>
      </c>
      <c r="M127" s="153">
        <f>Output!K136</f>
        <v>3.1045867868454304</v>
      </c>
      <c r="N127" s="153">
        <f>Output!L136</f>
        <v>2.9058282453917474</v>
      </c>
      <c r="O127" s="153">
        <f>Output!M136</f>
        <v>2.8223621033848398</v>
      </c>
      <c r="P127" s="154">
        <f t="shared" si="9"/>
        <v>3.3157316798558369</v>
      </c>
      <c r="Q127" s="155">
        <f t="shared" si="10"/>
        <v>3.348397234443746</v>
      </c>
    </row>
    <row r="128" spans="2:17">
      <c r="B128" s="1" t="s">
        <v>366</v>
      </c>
      <c r="H128" s="153">
        <f>Output!F147</f>
        <v>10.657542579075425</v>
      </c>
      <c r="I128" s="153">
        <f>Output!G147</f>
        <v>9.9327183939229524</v>
      </c>
      <c r="J128" s="153">
        <f>Output!H147</f>
        <v>8.7130339539978099</v>
      </c>
      <c r="K128" s="153">
        <f>Output!I147</f>
        <v>9.4348904576958557</v>
      </c>
      <c r="L128" s="153">
        <f>Output!J147</f>
        <v>9.9270932889710632</v>
      </c>
      <c r="M128" s="153">
        <f>Output!K147</f>
        <v>9.9581510079292848</v>
      </c>
      <c r="N128" s="153">
        <f>Output!L147</f>
        <v>10.385342271688799</v>
      </c>
      <c r="O128" s="153">
        <f>Output!M147</f>
        <v>10.744079163608333</v>
      </c>
      <c r="P128" s="154">
        <f t="shared" si="9"/>
        <v>9.4348904576958557</v>
      </c>
      <c r="Q128" s="155">
        <f t="shared" si="10"/>
        <v>8.7130339539978099</v>
      </c>
    </row>
    <row r="129" spans="2:17">
      <c r="B129" s="1" t="s">
        <v>367</v>
      </c>
      <c r="H129" s="153">
        <f>Output!F145</f>
        <v>0.83208391759249267</v>
      </c>
      <c r="I129" s="153">
        <f>Output!G145</f>
        <v>0.82094113804446722</v>
      </c>
      <c r="J129" s="153">
        <f>Output!H145</f>
        <v>0.7855949279992136</v>
      </c>
      <c r="K129" s="153">
        <f>Output!I145</f>
        <v>0.77746373470439023</v>
      </c>
      <c r="L129" s="153">
        <f>Output!J145</f>
        <v>0.78721171852792482</v>
      </c>
      <c r="M129" s="153">
        <f>Output!K145</f>
        <v>0.80080743391251952</v>
      </c>
      <c r="N129" s="153">
        <f>Output!L145</f>
        <v>0.83322071545244825</v>
      </c>
      <c r="O129" s="153">
        <f>Output!M145</f>
        <v>0.82515934114708134</v>
      </c>
      <c r="P129" s="154">
        <f t="shared" si="9"/>
        <v>0.77746373470439023</v>
      </c>
      <c r="Q129" s="155">
        <f t="shared" si="10"/>
        <v>0.7855949279992136</v>
      </c>
    </row>
    <row r="130" spans="2:17">
      <c r="B130" s="1" t="s">
        <v>368</v>
      </c>
      <c r="H130" s="153">
        <f>Output!F146</f>
        <v>0.51129867328227807</v>
      </c>
      <c r="I130" s="153">
        <f>Output!G146</f>
        <v>0.51158341693301912</v>
      </c>
      <c r="J130" s="153">
        <f>Output!H146</f>
        <v>0.47073278616012187</v>
      </c>
      <c r="K130" s="153">
        <f>Output!I146</f>
        <v>0.46854964035726981</v>
      </c>
      <c r="L130" s="153">
        <f>Output!J146</f>
        <v>0.48202494207072916</v>
      </c>
      <c r="M130" s="153">
        <f>Output!K146</f>
        <v>0.50042554837063313</v>
      </c>
      <c r="N130" s="153">
        <f>Output!L146</f>
        <v>0.53609224474415529</v>
      </c>
      <c r="O130" s="153">
        <f>Output!M146</f>
        <v>0.52957696729331671</v>
      </c>
      <c r="P130" s="154">
        <f t="shared" si="9"/>
        <v>0.46854964035726981</v>
      </c>
      <c r="Q130" s="155">
        <f t="shared" si="10"/>
        <v>0.47073278616012187</v>
      </c>
    </row>
    <row r="131" spans="2:17">
      <c r="B131" s="1" t="s">
        <v>369</v>
      </c>
      <c r="H131" s="134" t="s">
        <v>378</v>
      </c>
      <c r="I131" s="80">
        <f>Output!G156</f>
        <v>-1.7471692858137544E-2</v>
      </c>
      <c r="J131" s="80">
        <f>Output!H156</f>
        <v>-2.0006541648495468E-2</v>
      </c>
      <c r="K131" s="80">
        <f>Output!I156</f>
        <v>4.7859741892417595E-3</v>
      </c>
      <c r="L131" s="80">
        <f>Output!J156</f>
        <v>1.510107548297146E-2</v>
      </c>
      <c r="M131" s="80">
        <f>Output!K156</f>
        <v>4.9999999999998934E-3</v>
      </c>
      <c r="N131" s="80">
        <f>Output!L156</f>
        <v>2.0101563277905132E-2</v>
      </c>
      <c r="O131" s="80">
        <f>Output!M156</f>
        <v>2.810234966148939E-2</v>
      </c>
      <c r="P131" s="151">
        <f t="shared" si="9"/>
        <v>4.7859741892417595E-3</v>
      </c>
      <c r="Q131" s="152">
        <f t="shared" si="10"/>
        <v>-2.0006541648495468E-2</v>
      </c>
    </row>
    <row r="132" spans="2:17">
      <c r="B132" s="1" t="s">
        <v>370</v>
      </c>
      <c r="H132" s="134" t="s">
        <v>378</v>
      </c>
      <c r="I132" s="80">
        <f>Output!G157</f>
        <v>4.4803378802579674E-2</v>
      </c>
      <c r="J132" s="80">
        <f>Output!H157</f>
        <v>-0.13088604829017814</v>
      </c>
      <c r="K132" s="80">
        <f>Output!I157</f>
        <v>-5.091690760527956E-3</v>
      </c>
      <c r="L132" s="80">
        <f>Output!J157</f>
        <v>3.1125000000000069E-2</v>
      </c>
      <c r="M132" s="80">
        <f>Output!K157</f>
        <v>-6.9027044600457055E-3</v>
      </c>
      <c r="N132" s="80">
        <f>Output!L157</f>
        <v>4.2898652914517665E-2</v>
      </c>
      <c r="O132" s="80">
        <f>Output!M157</f>
        <v>4.4888042335056388E-2</v>
      </c>
      <c r="P132" s="151">
        <f t="shared" si="9"/>
        <v>-5.091690760527956E-3</v>
      </c>
      <c r="Q132" s="152">
        <f t="shared" si="10"/>
        <v>-0.13088604829017814</v>
      </c>
    </row>
    <row r="133" spans="2:17">
      <c r="B133" s="1" t="s">
        <v>371</v>
      </c>
      <c r="H133" s="134" t="s">
        <v>378</v>
      </c>
      <c r="I133" s="80">
        <f>Output!G159</f>
        <v>-2.9107654878790523E-2</v>
      </c>
      <c r="J133" s="80">
        <f>Output!H159</f>
        <v>-0.17182745659566856</v>
      </c>
      <c r="K133" s="80">
        <f>Output!I159</f>
        <v>2.5106148476334633E-2</v>
      </c>
      <c r="L133" s="80">
        <f>Output!J159</f>
        <v>4.3275417430302943E-2</v>
      </c>
      <c r="M133" s="80">
        <f>Output!K159</f>
        <v>-4.1394284116949009E-3</v>
      </c>
      <c r="N133" s="80">
        <f>Output!L159</f>
        <v>5.999079035786048E-2</v>
      </c>
      <c r="O133" s="80">
        <f>Output!M159</f>
        <v>5.7791729741072162E-2</v>
      </c>
      <c r="P133" s="151">
        <f t="shared" si="9"/>
        <v>2.5106148476334633E-2</v>
      </c>
      <c r="Q133" s="152">
        <f t="shared" si="10"/>
        <v>-0.17182745659566856</v>
      </c>
    </row>
    <row r="134" spans="2:17">
      <c r="B134" s="1" t="s">
        <v>372</v>
      </c>
      <c r="H134" s="134">
        <f>Output!F13+Output!F16</f>
        <v>-28960</v>
      </c>
      <c r="I134" s="134">
        <f>Output!G13+Output!G16</f>
        <v>-28326</v>
      </c>
      <c r="J134" s="134">
        <f>Output!H13+Output!H16</f>
        <v>-28914</v>
      </c>
      <c r="K134" s="134">
        <f>Output!I13+Output!I16</f>
        <v>-29193.696270000004</v>
      </c>
      <c r="L134" s="134">
        <f>Output!J13+Output!J16</f>
        <v>-29193.426457649999</v>
      </c>
      <c r="M134" s="134">
        <f>Output!K13+Output!K16</f>
        <v>-28917.376046117995</v>
      </c>
      <c r="N134" s="134">
        <f>Output!L13+Output!L16</f>
        <v>-29177.559036177616</v>
      </c>
      <c r="O134" s="134">
        <f>Output!M13+Output!M16</f>
        <v>-29830.994120327134</v>
      </c>
      <c r="P134" s="138">
        <f t="shared" si="9"/>
        <v>-29193.696270000004</v>
      </c>
      <c r="Q134" s="140">
        <f t="shared" si="10"/>
        <v>-28914</v>
      </c>
    </row>
    <row r="135" spans="2:17">
      <c r="B135" s="1" t="s">
        <v>373</v>
      </c>
      <c r="H135" s="134">
        <f>Output!F19</f>
        <v>-1360</v>
      </c>
      <c r="I135" s="134">
        <f>Output!G19</f>
        <v>-1485</v>
      </c>
      <c r="J135" s="134">
        <f>Output!H19</f>
        <v>-1526</v>
      </c>
      <c r="K135" s="134">
        <f>Output!I19</f>
        <v>-1521.9580000000001</v>
      </c>
      <c r="L135" s="134">
        <f>Output!J19</f>
        <v>-1497.6220295499816</v>
      </c>
      <c r="M135" s="134">
        <f>Output!K19</f>
        <v>-1467.4328714200983</v>
      </c>
      <c r="N135" s="134">
        <f>Output!L19</f>
        <v>-1441.2936023627162</v>
      </c>
      <c r="O135" s="134">
        <f>Output!M19</f>
        <v>-1413.5105588908796</v>
      </c>
      <c r="P135" s="138">
        <f t="shared" si="9"/>
        <v>-1521.9580000000001</v>
      </c>
      <c r="Q135" s="140">
        <f t="shared" si="10"/>
        <v>-1526</v>
      </c>
    </row>
    <row r="136" spans="2:17">
      <c r="B136" s="1" t="s">
        <v>374</v>
      </c>
      <c r="H136" s="134">
        <f>Output!F23</f>
        <v>1120</v>
      </c>
      <c r="I136" s="134">
        <f>Output!G23</f>
        <v>1249</v>
      </c>
      <c r="J136" s="134">
        <f>Output!H23</f>
        <v>1143</v>
      </c>
      <c r="K136" s="134">
        <f>Output!I23</f>
        <v>1177.29</v>
      </c>
      <c r="L136" s="134">
        <f>Output!J23</f>
        <v>1224.3815999999999</v>
      </c>
      <c r="M136" s="134">
        <f>Output!K23</f>
        <v>1273.3568640000001</v>
      </c>
      <c r="N136" s="134">
        <f>Output!L23</f>
        <v>1337.0247072000002</v>
      </c>
      <c r="O136" s="134">
        <f>Output!M23</f>
        <v>1403.8759425600003</v>
      </c>
      <c r="P136" s="138">
        <f t="shared" si="9"/>
        <v>1177.29</v>
      </c>
      <c r="Q136" s="140">
        <f t="shared" si="10"/>
        <v>1143</v>
      </c>
    </row>
    <row r="137" spans="2:17">
      <c r="B137" s="1" t="s">
        <v>72</v>
      </c>
      <c r="H137" s="80">
        <f>Output!F101</f>
        <v>0.18216169408801069</v>
      </c>
      <c r="I137" s="80">
        <f>Output!G101</f>
        <v>0.25032102122516808</v>
      </c>
      <c r="J137" s="80">
        <f>Output!H101</f>
        <v>0.24555855269277277</v>
      </c>
      <c r="K137" s="80">
        <f>Output!I101</f>
        <v>0.23499999999999999</v>
      </c>
      <c r="L137" s="80">
        <f>Output!J101</f>
        <v>0.23500000000000004</v>
      </c>
      <c r="M137" s="80">
        <f>Output!K101</f>
        <v>0.23499999999999999</v>
      </c>
      <c r="N137" s="80">
        <f>Output!L101</f>
        <v>0.23500000000000004</v>
      </c>
      <c r="O137" s="80">
        <f>Output!M101</f>
        <v>0.23499999999999999</v>
      </c>
      <c r="P137" s="151">
        <f t="shared" si="9"/>
        <v>0.23499999999999999</v>
      </c>
      <c r="Q137" s="152">
        <f t="shared" si="10"/>
        <v>0.24555855269277277</v>
      </c>
    </row>
    <row r="138" spans="2:17">
      <c r="B138" s="1" t="s">
        <v>375</v>
      </c>
      <c r="H138" s="153">
        <f>Output!F113</f>
        <v>0.7376610035559068</v>
      </c>
      <c r="I138" s="153">
        <f>Output!G113</f>
        <v>0.6586052389705882</v>
      </c>
      <c r="J138" s="153">
        <f>Output!H113</f>
        <v>0.70691539980023754</v>
      </c>
      <c r="K138" s="153">
        <f>Output!I113</f>
        <v>0.71000558630953536</v>
      </c>
      <c r="L138" s="153">
        <f>Output!J113</f>
        <v>0.71161603952711194</v>
      </c>
      <c r="M138" s="153">
        <f>Output!K113</f>
        <v>0.704164571891433</v>
      </c>
      <c r="N138" s="153">
        <f>Output!L113</f>
        <v>0.70118549051438184</v>
      </c>
      <c r="O138" s="153">
        <f>Output!M113</f>
        <v>0.71174453334342624</v>
      </c>
      <c r="P138" s="154">
        <f t="shared" si="9"/>
        <v>0.71000558630953536</v>
      </c>
      <c r="Q138" s="155">
        <f t="shared" si="10"/>
        <v>0.70691539980023754</v>
      </c>
    </row>
    <row r="139" spans="2:17">
      <c r="B139" s="1" t="s">
        <v>376</v>
      </c>
      <c r="H139" s="153">
        <f>Output!F132</f>
        <v>3.4778904553824166</v>
      </c>
      <c r="I139" s="153">
        <f>Output!G132</f>
        <v>3.7953833156187828</v>
      </c>
      <c r="J139" s="153">
        <f>Output!H132</f>
        <v>3.8463004416480127</v>
      </c>
      <c r="K139" s="153">
        <f>Output!I132</f>
        <v>3.7014419647198831</v>
      </c>
      <c r="L139" s="153">
        <f>Output!J132</f>
        <v>3.5834102238658976</v>
      </c>
      <c r="M139" s="153">
        <f>Output!K132</f>
        <v>3.5014770067902554</v>
      </c>
      <c r="N139" s="153">
        <f>Output!L132</f>
        <v>3.416246809164162</v>
      </c>
      <c r="O139" s="153">
        <f>Output!M132</f>
        <v>3.4311359984080223</v>
      </c>
      <c r="P139" s="154">
        <f t="shared" si="9"/>
        <v>3.7014419647198831</v>
      </c>
      <c r="Q139" s="155">
        <f t="shared" si="10"/>
        <v>3.8463004416480127</v>
      </c>
    </row>
    <row r="140" spans="2:17" ht="4.8" customHeight="1">
      <c r="P140" s="156"/>
      <c r="Q140" s="157"/>
    </row>
    <row r="141" spans="2:17">
      <c r="B141" s="1" t="s">
        <v>80</v>
      </c>
      <c r="H141" s="134">
        <f>Output!F9</f>
        <v>93351</v>
      </c>
      <c r="I141" s="134">
        <f>Output!G9</f>
        <v>91720</v>
      </c>
      <c r="J141" s="134">
        <f>Output!H9</f>
        <v>89885</v>
      </c>
      <c r="K141" s="134">
        <f>Output!I9</f>
        <v>90315.187290000002</v>
      </c>
      <c r="L141" s="134">
        <f>Output!J9</f>
        <v>91679.043750524987</v>
      </c>
      <c r="M141" s="134">
        <f>Output!K9</f>
        <v>92137.438969277602</v>
      </c>
      <c r="N141" s="134">
        <f>Output!L9</f>
        <v>93989.54552898265</v>
      </c>
      <c r="O141" s="134">
        <f>Output!M9</f>
        <v>96630.872601962605</v>
      </c>
      <c r="P141" s="138">
        <f t="shared" ref="P141:P148" si="11">INDEX($H141:$O141,MATCH($P$2,$H$99:$O$99,0))</f>
        <v>90315.187290000002</v>
      </c>
      <c r="Q141" s="140">
        <f t="shared" ref="Q141:Q148" si="12">IF(MATCH($P$2,$H$99:$O$99,0)=1,"n.a.",INDEX($H141:$O141,MATCH($P$2,$H$99:$O$99,0)-1))</f>
        <v>89885</v>
      </c>
    </row>
    <row r="142" spans="2:17">
      <c r="B142" s="1" t="s">
        <v>8</v>
      </c>
      <c r="H142" s="134">
        <f>Output!F10</f>
        <v>-50328</v>
      </c>
      <c r="I142" s="134">
        <f>Output!G10</f>
        <v>-48670</v>
      </c>
      <c r="J142" s="134">
        <f>Output!H10</f>
        <v>-48694</v>
      </c>
      <c r="K142" s="134">
        <f>Output!I10</f>
        <v>-48738.039819999998</v>
      </c>
      <c r="L142" s="134">
        <f>Output!J10</f>
        <v>-49651.425736424986</v>
      </c>
      <c r="M142" s="134">
        <f>Output!K10</f>
        <v>-50533.63254607447</v>
      </c>
      <c r="N142" s="134">
        <f>Output!L10</f>
        <v>-51462.02899924713</v>
      </c>
      <c r="O142" s="134">
        <f>Output!M10</f>
        <v>-52775.863791894226</v>
      </c>
      <c r="P142" s="138">
        <f t="shared" si="11"/>
        <v>-48738.039819999998</v>
      </c>
      <c r="Q142" s="140">
        <f t="shared" si="12"/>
        <v>-48694</v>
      </c>
    </row>
    <row r="143" spans="2:17">
      <c r="B143" s="1" t="s">
        <v>391</v>
      </c>
      <c r="H143" s="134">
        <f>Output!F13</f>
        <v>-25502</v>
      </c>
      <c r="I143" s="134">
        <f>Output!G13</f>
        <v>-24744</v>
      </c>
      <c r="J143" s="134">
        <f>Output!H13</f>
        <v>-25281</v>
      </c>
      <c r="K143" s="134">
        <f>Output!I13</f>
        <v>-25748.156270000003</v>
      </c>
      <c r="L143" s="134">
        <f>Output!J13</f>
        <v>-25705.949462999997</v>
      </c>
      <c r="M143" s="134">
        <f>Output!K13</f>
        <v>-25394.801526406194</v>
      </c>
      <c r="N143" s="134">
        <f>Output!L13</f>
        <v>-25623.167157781172</v>
      </c>
      <c r="O143" s="134">
        <f>Output!M13</f>
        <v>-26191.856287859162</v>
      </c>
      <c r="P143" s="138">
        <f t="shared" si="11"/>
        <v>-25748.156270000003</v>
      </c>
      <c r="Q143" s="140">
        <f t="shared" si="12"/>
        <v>-25281</v>
      </c>
    </row>
    <row r="144" spans="2:17">
      <c r="B144" s="1" t="s">
        <v>392</v>
      </c>
      <c r="H144" s="134">
        <f>Output!F16</f>
        <v>-3458</v>
      </c>
      <c r="I144" s="134">
        <f>Output!G16</f>
        <v>-3582</v>
      </c>
      <c r="J144" s="134">
        <f>Output!H16</f>
        <v>-3633</v>
      </c>
      <c r="K144" s="134">
        <f>Output!I16</f>
        <v>-3445.5400000000004</v>
      </c>
      <c r="L144" s="134">
        <f>Output!J16</f>
        <v>-3487.4769946500001</v>
      </c>
      <c r="M144" s="134">
        <f>Output!K16</f>
        <v>-3522.5745197118003</v>
      </c>
      <c r="N144" s="134">
        <f>Output!L16</f>
        <v>-3554.3918783964446</v>
      </c>
      <c r="O144" s="134">
        <f>Output!M16</f>
        <v>-3639.1378324679717</v>
      </c>
      <c r="P144" s="138">
        <f t="shared" si="11"/>
        <v>-3445.5400000000004</v>
      </c>
      <c r="Q144" s="140">
        <f t="shared" si="12"/>
        <v>-3633</v>
      </c>
    </row>
    <row r="145" spans="1:17">
      <c r="B145" s="1" t="s">
        <v>264</v>
      </c>
      <c r="H145" s="134">
        <f>Output!F19</f>
        <v>-1360</v>
      </c>
      <c r="I145" s="134">
        <f>Output!G19</f>
        <v>-1485</v>
      </c>
      <c r="J145" s="134">
        <f>Output!H19</f>
        <v>-1526</v>
      </c>
      <c r="K145" s="134">
        <f>Output!I19</f>
        <v>-1521.9580000000001</v>
      </c>
      <c r="L145" s="134">
        <f>Output!J19</f>
        <v>-1497.6220295499816</v>
      </c>
      <c r="M145" s="134">
        <f>Output!K19</f>
        <v>-1467.4328714200983</v>
      </c>
      <c r="N145" s="134">
        <f>Output!L19</f>
        <v>-1441.2936023627162</v>
      </c>
      <c r="O145" s="134">
        <f>Output!M19</f>
        <v>-1413.5105588908796</v>
      </c>
      <c r="P145" s="138">
        <f t="shared" si="11"/>
        <v>-1521.9580000000001</v>
      </c>
      <c r="Q145" s="140">
        <f t="shared" si="12"/>
        <v>-1526</v>
      </c>
    </row>
    <row r="146" spans="1:17">
      <c r="B146" s="1" t="s">
        <v>46</v>
      </c>
      <c r="H146" s="134">
        <f>Output!F22</f>
        <v>-2314</v>
      </c>
      <c r="I146" s="134">
        <f>Output!G22</f>
        <v>-3314</v>
      </c>
      <c r="J146" s="134">
        <f>Output!H22</f>
        <v>-2640</v>
      </c>
      <c r="K146" s="134">
        <f>Output!I22</f>
        <v>-2552.4509019999996</v>
      </c>
      <c r="L146" s="134">
        <f>Output!J22</f>
        <v>-2664.0938388215054</v>
      </c>
      <c r="M146" s="134">
        <f>Output!K22</f>
        <v>-2636.4644138312838</v>
      </c>
      <c r="N146" s="134">
        <f>Output!L22</f>
        <v>-2798.5360144308697</v>
      </c>
      <c r="O146" s="134">
        <f>Output!M22</f>
        <v>-2963.4684707498359</v>
      </c>
      <c r="P146" s="138">
        <f t="shared" si="11"/>
        <v>-2552.4509019999996</v>
      </c>
      <c r="Q146" s="140">
        <f t="shared" si="12"/>
        <v>-2640</v>
      </c>
    </row>
    <row r="147" spans="1:17">
      <c r="B147" s="1" t="s">
        <v>393</v>
      </c>
      <c r="H147" s="134">
        <f>Output!F23</f>
        <v>1120</v>
      </c>
      <c r="I147" s="134">
        <f>Output!G23</f>
        <v>1249</v>
      </c>
      <c r="J147" s="134">
        <f>Output!H23</f>
        <v>1143</v>
      </c>
      <c r="K147" s="134">
        <f>Output!I23</f>
        <v>1177.29</v>
      </c>
      <c r="L147" s="134">
        <f>Output!J23</f>
        <v>1224.3815999999999</v>
      </c>
      <c r="M147" s="134">
        <f>Output!K23</f>
        <v>1273.3568640000001</v>
      </c>
      <c r="N147" s="134">
        <f>Output!L23</f>
        <v>1337.0247072000002</v>
      </c>
      <c r="O147" s="134">
        <f>Output!M23</f>
        <v>1403.8759425600003</v>
      </c>
      <c r="P147" s="138">
        <f t="shared" si="11"/>
        <v>1177.29</v>
      </c>
      <c r="Q147" s="140">
        <f t="shared" si="12"/>
        <v>1143</v>
      </c>
    </row>
    <row r="148" spans="1:17">
      <c r="B148" s="1" t="s">
        <v>265</v>
      </c>
      <c r="H148" s="134">
        <f>Output!F24</f>
        <v>11509</v>
      </c>
      <c r="I148" s="134">
        <f>Output!G24</f>
        <v>11174</v>
      </c>
      <c r="J148" s="134">
        <f>Output!H24</f>
        <v>9254</v>
      </c>
      <c r="K148" s="134">
        <f>Output!I24</f>
        <v>9486.3322980000012</v>
      </c>
      <c r="L148" s="134">
        <f>Output!J24</f>
        <v>9896.8572880785159</v>
      </c>
      <c r="M148" s="134">
        <f>Output!K24</f>
        <v>9855.8899558337544</v>
      </c>
      <c r="N148" s="134">
        <f>Output!L24</f>
        <v>10447.15258396432</v>
      </c>
      <c r="O148" s="134">
        <f>Output!M24</f>
        <v>11050.91160266053</v>
      </c>
      <c r="P148" s="138">
        <f t="shared" si="11"/>
        <v>9486.3322980000012</v>
      </c>
      <c r="Q148" s="140">
        <f t="shared" si="12"/>
        <v>9254</v>
      </c>
    </row>
    <row r="149" spans="1:17" ht="4.2" customHeight="1">
      <c r="P149" s="156"/>
      <c r="Q149" s="157"/>
    </row>
    <row r="150" spans="1:17">
      <c r="B150" s="1" t="s">
        <v>64</v>
      </c>
      <c r="H150" s="134">
        <f>-Model!F257</f>
        <v>50328</v>
      </c>
      <c r="I150" s="134">
        <f>-Model!G257</f>
        <v>48670</v>
      </c>
      <c r="J150" s="134">
        <f>-Model!H257</f>
        <v>48694</v>
      </c>
      <c r="K150" s="134">
        <f>-Model!I257</f>
        <v>48738.039819999998</v>
      </c>
      <c r="L150" s="134">
        <f>-Model!J257</f>
        <v>49651.425736424986</v>
      </c>
      <c r="M150" s="134">
        <f>-Model!K257</f>
        <v>50533.63254607447</v>
      </c>
      <c r="N150" s="134">
        <f>-Model!L257</f>
        <v>51462.02899924713</v>
      </c>
      <c r="O150" s="134">
        <f>-Model!M257</f>
        <v>52775.863791894226</v>
      </c>
      <c r="P150" s="138">
        <f t="shared" ref="P150:P157" si="13">INDEX($H150:$O150,MATCH($P$2,$H$99:$O$99,0))</f>
        <v>48738.039819999998</v>
      </c>
      <c r="Q150" s="140">
        <f t="shared" ref="Q150:Q157" si="14">IF(MATCH($P$2,$H$99:$O$99,0)=1,"n.a.",INDEX($H150:$O150,MATCH($P$2,$H$99:$O$99,0)-1))</f>
        <v>48694</v>
      </c>
    </row>
    <row r="151" spans="1:17">
      <c r="B151" s="1" t="s">
        <v>65</v>
      </c>
      <c r="H151" s="134">
        <f>-Model!F258</f>
        <v>7765</v>
      </c>
      <c r="I151" s="134">
        <f>-Model!G258</f>
        <v>7567</v>
      </c>
      <c r="J151" s="134">
        <f>-Model!H258</f>
        <v>7306</v>
      </c>
      <c r="K151" s="134">
        <f>-Model!I258</f>
        <v>7284.9334500000004</v>
      </c>
      <c r="L151" s="134">
        <f>-Model!J258</f>
        <v>7348.5641958749993</v>
      </c>
      <c r="M151" s="134">
        <f>-Model!K258</f>
        <v>7339.4355446999989</v>
      </c>
      <c r="N151" s="134">
        <f>-Model!L258</f>
        <v>7439.4353539965368</v>
      </c>
      <c r="O151" s="134">
        <f>-Model!M258</f>
        <v>7599.6405530662487</v>
      </c>
      <c r="P151" s="138">
        <f t="shared" si="13"/>
        <v>7284.9334500000004</v>
      </c>
      <c r="Q151" s="140">
        <f t="shared" si="14"/>
        <v>7306</v>
      </c>
    </row>
    <row r="152" spans="1:17">
      <c r="B152" s="1" t="s">
        <v>170</v>
      </c>
      <c r="H152" s="134">
        <f>-Model!F259</f>
        <v>17549</v>
      </c>
      <c r="I152" s="134">
        <f>-Model!G259</f>
        <v>18112</v>
      </c>
      <c r="J152" s="134">
        <f>-Model!H259</f>
        <v>17883</v>
      </c>
      <c r="K152" s="134">
        <f>-Model!I259</f>
        <v>17987.490000000002</v>
      </c>
      <c r="L152" s="134">
        <f>-Model!J259</f>
        <v>18348.588861749999</v>
      </c>
      <c r="M152" s="134">
        <f>-Model!K259</f>
        <v>18440.331806058748</v>
      </c>
      <c r="N152" s="134">
        <f>-Model!L259</f>
        <v>18902.71624537485</v>
      </c>
      <c r="O152" s="134">
        <f>-Model!M259</f>
        <v>19528.190281929728</v>
      </c>
      <c r="P152" s="138">
        <f t="shared" si="13"/>
        <v>17987.490000000002</v>
      </c>
      <c r="Q152" s="140">
        <f t="shared" si="14"/>
        <v>17883</v>
      </c>
    </row>
    <row r="153" spans="1:17">
      <c r="B153" s="1" t="s">
        <v>171</v>
      </c>
      <c r="H153" s="134">
        <f>-Model!F260</f>
        <v>1656</v>
      </c>
      <c r="I153" s="134">
        <f>-Model!G260</f>
        <v>1667</v>
      </c>
      <c r="J153" s="134">
        <f>-Model!H260</f>
        <v>1613</v>
      </c>
      <c r="K153" s="134">
        <f>-Model!I260</f>
        <v>1618.8740999999998</v>
      </c>
      <c r="L153" s="134">
        <f>-Model!J260</f>
        <v>1643.1572114999997</v>
      </c>
      <c r="M153" s="134">
        <f>-Model!K260</f>
        <v>1651.3729975574995</v>
      </c>
      <c r="N153" s="134">
        <f>-Model!L260</f>
        <v>1684.4004575086497</v>
      </c>
      <c r="O153" s="134">
        <f>-Model!M260</f>
        <v>1731.5636703188918</v>
      </c>
      <c r="P153" s="138">
        <f t="shared" si="13"/>
        <v>1618.8740999999998</v>
      </c>
      <c r="Q153" s="140">
        <f t="shared" si="14"/>
        <v>1613</v>
      </c>
    </row>
    <row r="154" spans="1:17">
      <c r="B154" s="1" t="s">
        <v>69</v>
      </c>
      <c r="H154" s="134">
        <f>-Model!F262</f>
        <v>1665</v>
      </c>
      <c r="I154" s="134">
        <f>-Model!G262</f>
        <v>1195</v>
      </c>
      <c r="J154" s="134">
        <f>-Model!H262</f>
        <v>1849</v>
      </c>
      <c r="K154" s="134">
        <f>-Model!I262</f>
        <v>2158.4987999999998</v>
      </c>
      <c r="L154" s="134">
        <f>-Model!J262</f>
        <v>1734.4437232499997</v>
      </c>
      <c r="M154" s="134">
        <f>-Model!K262</f>
        <v>1376.1441646312496</v>
      </c>
      <c r="N154" s="134">
        <f>-Model!L262</f>
        <v>1076.1447367416374</v>
      </c>
      <c r="O154" s="134">
        <f>-Model!M262</f>
        <v>913.88082600163739</v>
      </c>
      <c r="P154" s="138">
        <f t="shared" si="13"/>
        <v>2158.4987999999998</v>
      </c>
      <c r="Q154" s="140">
        <f t="shared" si="14"/>
        <v>1849</v>
      </c>
    </row>
    <row r="155" spans="1:17">
      <c r="B155" s="1" t="s">
        <v>71</v>
      </c>
      <c r="H155" s="134">
        <f>-Model!F266</f>
        <v>755</v>
      </c>
      <c r="I155" s="134">
        <f>-Model!G266</f>
        <v>383</v>
      </c>
      <c r="J155" s="134">
        <f>-Model!H266</f>
        <v>651</v>
      </c>
      <c r="K155" s="134">
        <f>-Model!I266</f>
        <v>539.62469999999996</v>
      </c>
      <c r="L155" s="134">
        <f>-Model!J266</f>
        <v>502.07581462499991</v>
      </c>
      <c r="M155" s="134">
        <f>-Model!K266</f>
        <v>477.06331040549986</v>
      </c>
      <c r="N155" s="134">
        <f>-Model!L266</f>
        <v>467.88901597462495</v>
      </c>
      <c r="O155" s="134">
        <f>-Model!M266</f>
        <v>461.75031208503782</v>
      </c>
      <c r="P155" s="138">
        <f t="shared" si="13"/>
        <v>539.62469999999996</v>
      </c>
      <c r="Q155" s="140">
        <f t="shared" si="14"/>
        <v>651</v>
      </c>
    </row>
    <row r="156" spans="1:17">
      <c r="B156" s="1" t="s">
        <v>175</v>
      </c>
      <c r="H156" s="134">
        <f>-Model!F270</f>
        <v>1644</v>
      </c>
      <c r="I156" s="134">
        <f>-Model!G270</f>
        <v>1843</v>
      </c>
      <c r="J156" s="134">
        <f>-Model!H270</f>
        <v>1826</v>
      </c>
      <c r="K156" s="134">
        <f>-Model!I270</f>
        <v>1677.7080000000001</v>
      </c>
      <c r="L156" s="134">
        <f>-Model!J270</f>
        <v>1644.1538399999999</v>
      </c>
      <c r="M156" s="134">
        <f>-Model!K270</f>
        <v>1627.7123016</v>
      </c>
      <c r="N156" s="134">
        <f>-Model!L270</f>
        <v>1627.7123016</v>
      </c>
      <c r="O156" s="134">
        <f>-Model!M270</f>
        <v>1643.989424616</v>
      </c>
      <c r="P156" s="138">
        <f t="shared" si="13"/>
        <v>1677.7080000000001</v>
      </c>
      <c r="Q156" s="140">
        <f t="shared" si="14"/>
        <v>1826</v>
      </c>
    </row>
    <row r="157" spans="1:17">
      <c r="B157" s="1" t="s">
        <v>46</v>
      </c>
      <c r="H157" s="134">
        <f>Model!F273*-1</f>
        <v>2314</v>
      </c>
      <c r="I157" s="134">
        <f>Model!G273*-1</f>
        <v>3314</v>
      </c>
      <c r="J157" s="134">
        <f>Model!H273*-1</f>
        <v>2640</v>
      </c>
      <c r="K157" s="134">
        <f>Model!I273*-1</f>
        <v>2552.4509019999996</v>
      </c>
      <c r="L157" s="134">
        <f>Model!J273*-1</f>
        <v>2664.0938388215054</v>
      </c>
      <c r="M157" s="134">
        <f>Model!K273*-1</f>
        <v>2636.4644138312838</v>
      </c>
      <c r="N157" s="134">
        <f>Model!L273*-1</f>
        <v>2798.5360144308697</v>
      </c>
      <c r="O157" s="134">
        <f>Model!M273*-1</f>
        <v>2963.4684707498359</v>
      </c>
      <c r="P157" s="143">
        <f t="shared" si="13"/>
        <v>2552.4509019999996</v>
      </c>
      <c r="Q157" s="145">
        <f t="shared" si="14"/>
        <v>2640</v>
      </c>
    </row>
    <row r="159" spans="1:17">
      <c r="A159" s="1" t="s">
        <v>61</v>
      </c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</row>
    <row r="162" spans="1:17">
      <c r="A162" s="1" t="s">
        <v>61</v>
      </c>
      <c r="B162" s="106" t="s">
        <v>408</v>
      </c>
      <c r="C162" s="107"/>
      <c r="D162" s="107"/>
      <c r="E162" s="107"/>
      <c r="F162" s="108"/>
      <c r="G162" s="108"/>
      <c r="H162" s="108"/>
      <c r="I162" s="109"/>
      <c r="J162" s="109"/>
      <c r="K162" s="109"/>
      <c r="L162" s="109"/>
      <c r="M162" s="109"/>
      <c r="N162" s="109"/>
      <c r="O162" s="109"/>
      <c r="P162" s="109"/>
      <c r="Q162" s="109"/>
    </row>
    <row r="164" spans="1:17">
      <c r="B164" s="273" t="s">
        <v>485</v>
      </c>
    </row>
    <row r="165" spans="1:17">
      <c r="B165" s="273" t="s">
        <v>486</v>
      </c>
    </row>
    <row r="166" spans="1:17">
      <c r="B166" s="273" t="s">
        <v>487</v>
      </c>
    </row>
    <row r="167" spans="1:17">
      <c r="B167" s="273" t="s">
        <v>488</v>
      </c>
    </row>
    <row r="168" spans="1:17">
      <c r="B168" s="273" t="s">
        <v>489</v>
      </c>
    </row>
    <row r="169" spans="1:17">
      <c r="B169" s="273"/>
    </row>
  </sheetData>
  <sheetProtection selectLockedCells="1"/>
  <mergeCells count="2">
    <mergeCell ref="B81:B85"/>
    <mergeCell ref="J81:J85"/>
  </mergeCells>
  <conditionalFormatting sqref="N8:O8">
    <cfRule type="expression" dxfId="15" priority="4">
      <formula>LEFT(N8,1)="▼"</formula>
    </cfRule>
    <cfRule type="expression" dxfId="14" priority="5">
      <formula>LEFT(N8,1)="▲"</formula>
    </cfRule>
  </conditionalFormatting>
  <conditionalFormatting sqref="B8:C8">
    <cfRule type="expression" dxfId="13" priority="18">
      <formula>LEFT(B8,1)="▲"</formula>
    </cfRule>
    <cfRule type="expression" dxfId="12" priority="19">
      <formula>LEFT(B8,1)="▼"</formula>
    </cfRule>
  </conditionalFormatting>
  <conditionalFormatting sqref="D8:E8">
    <cfRule type="expression" dxfId="11" priority="14">
      <formula>LEFT(D8,1)="▲"</formula>
    </cfRule>
    <cfRule type="expression" dxfId="10" priority="15">
      <formula>LEFT(D8,1)="▼"</formula>
    </cfRule>
  </conditionalFormatting>
  <conditionalFormatting sqref="F8:G8">
    <cfRule type="expression" dxfId="9" priority="16">
      <formula>LEFT(F8,1)="▲"</formula>
    </cfRule>
    <cfRule type="expression" dxfId="8" priority="17">
      <formula>LEFT(F8,1)="▼"</formula>
    </cfRule>
  </conditionalFormatting>
  <conditionalFormatting sqref="H8:I8">
    <cfRule type="expression" dxfId="7" priority="12">
      <formula>LEFT(H8,1)="▲"</formula>
    </cfRule>
    <cfRule type="expression" dxfId="6" priority="13">
      <formula>LEFT(H8,1)="▼"</formula>
    </cfRule>
  </conditionalFormatting>
  <conditionalFormatting sqref="J8:K8">
    <cfRule type="expression" dxfId="5" priority="8">
      <formula>LEFT(J8,1)="▲"</formula>
    </cfRule>
    <cfRule type="expression" dxfId="4" priority="9">
      <formula>LEFT(J8,1)="▼"</formula>
    </cfRule>
  </conditionalFormatting>
  <conditionalFormatting sqref="L8:M8">
    <cfRule type="expression" dxfId="3" priority="10">
      <formula>LEFT(L8,1)="▲"</formula>
    </cfRule>
    <cfRule type="expression" dxfId="2" priority="11">
      <formula>LEFT(L8,1)="▼"</formula>
    </cfRule>
  </conditionalFormatting>
  <conditionalFormatting sqref="P8:Q8">
    <cfRule type="expression" dxfId="1" priority="6">
      <formula>LEFT(P8,1)="▼"</formula>
    </cfRule>
    <cfRule type="expression" dxfId="0" priority="7">
      <formula>LEFT(P8,1)="▲"</formula>
    </cfRule>
  </conditionalFormatting>
  <conditionalFormatting sqref="D81:H86">
    <cfRule type="colorScale" priority="2">
      <colorScale>
        <cfvo type="min"/>
        <cfvo type="percentile" val="50"/>
        <cfvo type="max"/>
        <color rgb="FF987C5E"/>
        <color rgb="FFBCA892"/>
        <color rgb="FFFFF9E6"/>
      </colorScale>
    </cfRule>
  </conditionalFormatting>
  <conditionalFormatting sqref="L81:P86">
    <cfRule type="colorScale" priority="1">
      <colorScale>
        <cfvo type="min"/>
        <cfvo type="percentile" val="50"/>
        <cfvo type="max"/>
        <color rgb="FF987C5E"/>
        <color rgb="FFBCA892"/>
        <color rgb="FFFFF9E6"/>
      </colorScale>
    </cfRule>
  </conditionalFormatting>
  <dataValidations count="1">
    <dataValidation type="list" allowBlank="1" showInputMessage="1" showErrorMessage="1" sqref="P2" xr:uid="{465ECBB6-A65C-4EA2-9F96-FCA8EDEF8CE4}">
      <formula1>$H$99:$O$99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454031-926E-4D43-865D-4443DC41313B}">
          <x14:formula1>
            <xm:f>Input!$B$19:$B$21</xm:f>
          </x14:formula1>
          <xm:sqref>F2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7137-F366-425F-B2FA-C6DF50AEE1B4}">
  <dimension ref="A1:U194"/>
  <sheetViews>
    <sheetView showGridLines="0" zoomScale="70" zoomScaleNormal="70" workbookViewId="0">
      <pane ySplit="2" topLeftCell="A150" activePane="bottomLeft" state="frozen"/>
      <selection pane="bottomLeft" activeCell="F191" sqref="F191"/>
    </sheetView>
  </sheetViews>
  <sheetFormatPr defaultRowHeight="14.4" outlineLevelRow="1"/>
  <cols>
    <col min="1" max="1" width="8.6640625" style="185" customWidth="1"/>
    <col min="2" max="2" width="5.5546875" style="83" customWidth="1"/>
    <col min="3" max="3" width="19.6640625" style="83" customWidth="1"/>
    <col min="4" max="4" width="13.21875" style="83" customWidth="1"/>
    <col min="5" max="5" width="10.77734375" style="83" customWidth="1"/>
    <col min="6" max="13" width="11.77734375" style="83" customWidth="1"/>
    <col min="14" max="16384" width="8.88671875" style="83"/>
  </cols>
  <sheetData>
    <row r="1" spans="1:13" s="1" customFormat="1" ht="56.4" customHeight="1">
      <c r="A1" s="18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1" customFormat="1" ht="16.8">
      <c r="A2" s="181" t="s">
        <v>61</v>
      </c>
      <c r="B2" s="3" t="str">
        <f>"Nestlé S.A.  |  CHF millions  |  Scenario: "&amp;INDEX(Input!$B$12:$B$14,ScenarioSwitch)</f>
        <v>Nestlé S.A.  |  CHF millions  |  Scenario: Base Case</v>
      </c>
      <c r="C2" s="3"/>
      <c r="D2" s="3"/>
      <c r="E2" s="3"/>
      <c r="F2" s="186">
        <f>G2-1</f>
        <v>2023</v>
      </c>
      <c r="G2" s="186">
        <f>H2-1</f>
        <v>2024</v>
      </c>
      <c r="H2" s="186">
        <f>I2-1</f>
        <v>2025</v>
      </c>
      <c r="I2" s="187">
        <f>Input!$I$2</f>
        <v>2026</v>
      </c>
      <c r="J2" s="187">
        <f>I2+1</f>
        <v>2027</v>
      </c>
      <c r="K2" s="187">
        <f>J2+1</f>
        <v>2028</v>
      </c>
      <c r="L2" s="187">
        <f>K2+1</f>
        <v>2029</v>
      </c>
      <c r="M2" s="187">
        <f>L2+1</f>
        <v>2030</v>
      </c>
    </row>
    <row r="4" spans="1:13" ht="16.8">
      <c r="A4" s="182" t="s">
        <v>61</v>
      </c>
      <c r="B4" s="81" t="s">
        <v>258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</row>
    <row r="5" spans="1:13" ht="16.8" outlineLevel="1">
      <c r="A5" s="182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</row>
    <row r="6" spans="1:13" s="1" customFormat="1" ht="17.399999999999999" outlineLevel="1" thickBot="1">
      <c r="A6" s="183"/>
      <c r="B6" s="12" t="str">
        <f>Input!$B$131</f>
        <v>All figures in CHF millions unless stated</v>
      </c>
      <c r="C6" s="7"/>
      <c r="D6" s="7"/>
      <c r="E6" s="7"/>
      <c r="F6" s="13">
        <f>F$2</f>
        <v>2023</v>
      </c>
      <c r="G6" s="13">
        <f t="shared" ref="G6:M6" si="0">G$2</f>
        <v>2024</v>
      </c>
      <c r="H6" s="13">
        <f t="shared" si="0"/>
        <v>2025</v>
      </c>
      <c r="I6" s="14">
        <f t="shared" si="0"/>
        <v>2026</v>
      </c>
      <c r="J6" s="14">
        <f t="shared" si="0"/>
        <v>2027</v>
      </c>
      <c r="K6" s="14">
        <f t="shared" si="0"/>
        <v>2028</v>
      </c>
      <c r="L6" s="14">
        <f t="shared" si="0"/>
        <v>2029</v>
      </c>
      <c r="M6" s="14">
        <f t="shared" si="0"/>
        <v>2030</v>
      </c>
    </row>
    <row r="7" spans="1:13" s="1" customFormat="1" ht="17.399999999999999" outlineLevel="1" thickTop="1">
      <c r="A7" s="183"/>
      <c r="B7" s="12" t="str">
        <f>CONCATENATE("Model Running: ",INDEX(Input!$B$12:$B$14,Input!$D$6)," Drivers")</f>
        <v>Model Running: Base Case Drivers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s="1" customFormat="1" ht="16.8" outlineLevel="1">
      <c r="A8" s="18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5" outlineLevel="1">
      <c r="A9" s="184"/>
      <c r="B9" s="84" t="s">
        <v>80</v>
      </c>
      <c r="C9" s="84"/>
      <c r="D9" s="84"/>
      <c r="E9" s="84"/>
      <c r="F9" s="85">
        <f>Model!F255+Model!F256</f>
        <v>93351</v>
      </c>
      <c r="G9" s="85">
        <f>Model!G255+Model!G256</f>
        <v>91720</v>
      </c>
      <c r="H9" s="85">
        <f>Model!H255+Model!H256</f>
        <v>89885</v>
      </c>
      <c r="I9" s="85">
        <f>Model!I255+Model!I256</f>
        <v>90315.187290000002</v>
      </c>
      <c r="J9" s="85">
        <f>Model!J255+Model!J256</f>
        <v>91679.043750524987</v>
      </c>
      <c r="K9" s="85">
        <f>Model!K255+Model!K256</f>
        <v>92137.438969277602</v>
      </c>
      <c r="L9" s="85">
        <f>Model!L255+Model!L256</f>
        <v>93989.54552898265</v>
      </c>
      <c r="M9" s="85">
        <f>Model!M255+Model!M256</f>
        <v>96630.872601962605</v>
      </c>
    </row>
    <row r="10" spans="1:13" ht="15" outlineLevel="1">
      <c r="A10" s="184"/>
      <c r="B10" s="84" t="s">
        <v>259</v>
      </c>
      <c r="C10" s="84"/>
      <c r="D10" s="84"/>
      <c r="E10" s="84"/>
      <c r="F10" s="86">
        <f>Model!F257</f>
        <v>-50328</v>
      </c>
      <c r="G10" s="86">
        <f>Model!G257</f>
        <v>-48670</v>
      </c>
      <c r="H10" s="86">
        <f>Model!H257</f>
        <v>-48694</v>
      </c>
      <c r="I10" s="86">
        <f>Model!I257</f>
        <v>-48738.039819999998</v>
      </c>
      <c r="J10" s="86">
        <f>Model!J257</f>
        <v>-49651.425736424986</v>
      </c>
      <c r="K10" s="86">
        <f>Model!K257</f>
        <v>-50533.63254607447</v>
      </c>
      <c r="L10" s="86">
        <f>Model!L257</f>
        <v>-51462.02899924713</v>
      </c>
      <c r="M10" s="86">
        <f>Model!M257</f>
        <v>-52775.863791894226</v>
      </c>
    </row>
    <row r="11" spans="1:13" ht="15" outlineLevel="1">
      <c r="A11" s="184"/>
      <c r="B11" s="87" t="s">
        <v>260</v>
      </c>
      <c r="C11" s="84"/>
      <c r="D11" s="84"/>
      <c r="E11" s="84"/>
      <c r="F11" s="88">
        <f t="shared" ref="F11:M11" si="1">SUM(F9:F10)</f>
        <v>43023</v>
      </c>
      <c r="G11" s="88">
        <f t="shared" si="1"/>
        <v>43050</v>
      </c>
      <c r="H11" s="88">
        <f t="shared" si="1"/>
        <v>41191</v>
      </c>
      <c r="I11" s="88">
        <f t="shared" si="1"/>
        <v>41577.147470000004</v>
      </c>
      <c r="J11" s="88">
        <f t="shared" si="1"/>
        <v>42027.6180141</v>
      </c>
      <c r="K11" s="88">
        <f t="shared" si="1"/>
        <v>41603.806423203132</v>
      </c>
      <c r="L11" s="88">
        <f t="shared" si="1"/>
        <v>42527.51652973552</v>
      </c>
      <c r="M11" s="88">
        <f t="shared" si="1"/>
        <v>43855.008810068379</v>
      </c>
    </row>
    <row r="12" spans="1:13" ht="15" outlineLevel="1">
      <c r="A12" s="184"/>
      <c r="B12" s="84"/>
      <c r="C12" s="84"/>
      <c r="D12" s="84"/>
      <c r="E12" s="84"/>
      <c r="F12" s="85"/>
      <c r="G12" s="85"/>
      <c r="H12" s="85"/>
      <c r="I12" s="85"/>
      <c r="J12" s="85"/>
      <c r="K12" s="85"/>
      <c r="L12" s="85"/>
      <c r="M12" s="85"/>
    </row>
    <row r="13" spans="1:13" ht="15" outlineLevel="1">
      <c r="A13" s="184"/>
      <c r="B13" s="84" t="s">
        <v>261</v>
      </c>
      <c r="C13" s="84"/>
      <c r="D13" s="84"/>
      <c r="E13" s="84"/>
      <c r="F13" s="86">
        <f>SUM(Model!F258:F262)+SUM(Model!F265:F266)+Model!F288</f>
        <v>-25502</v>
      </c>
      <c r="G13" s="86">
        <f>SUM(Model!G258:G262)+SUM(Model!G265:G266)+Model!G288</f>
        <v>-24744</v>
      </c>
      <c r="H13" s="86">
        <f>SUM(Model!H258:H262)+SUM(Model!H265:H266)+Model!H288</f>
        <v>-25281</v>
      </c>
      <c r="I13" s="86">
        <f>SUM(Model!I258:I262)+SUM(Model!I265:I266)+Model!I288</f>
        <v>-25748.156270000003</v>
      </c>
      <c r="J13" s="86">
        <f>SUM(Model!J258:J262)+SUM(Model!J265:J266)+Model!J288</f>
        <v>-25705.949462999997</v>
      </c>
      <c r="K13" s="86">
        <f>SUM(Model!K258:K262)+SUM(Model!K265:K266)+Model!K288</f>
        <v>-25394.801526406194</v>
      </c>
      <c r="L13" s="86">
        <f>SUM(Model!L258:L262)+SUM(Model!L265:L266)+Model!L288</f>
        <v>-25623.167157781172</v>
      </c>
      <c r="M13" s="86">
        <f>SUM(Model!M258:M262)+SUM(Model!M265:M266)+Model!M288</f>
        <v>-26191.856287859162</v>
      </c>
    </row>
    <row r="14" spans="1:13" ht="15" outlineLevel="1">
      <c r="A14" s="184"/>
      <c r="B14" s="87" t="s">
        <v>262</v>
      </c>
      <c r="C14" s="84"/>
      <c r="D14" s="84"/>
      <c r="E14" s="84"/>
      <c r="F14" s="88">
        <f t="shared" ref="F14:M14" si="2">F11+F13</f>
        <v>17521</v>
      </c>
      <c r="G14" s="88">
        <f t="shared" si="2"/>
        <v>18306</v>
      </c>
      <c r="H14" s="88">
        <f t="shared" si="2"/>
        <v>15910</v>
      </c>
      <c r="I14" s="88">
        <f t="shared" si="2"/>
        <v>15828.9912</v>
      </c>
      <c r="J14" s="88">
        <f t="shared" si="2"/>
        <v>16321.668551100003</v>
      </c>
      <c r="K14" s="88">
        <f t="shared" si="2"/>
        <v>16209.004896796938</v>
      </c>
      <c r="L14" s="88">
        <f t="shared" si="2"/>
        <v>16904.349371954348</v>
      </c>
      <c r="M14" s="88">
        <f t="shared" si="2"/>
        <v>17663.152522209217</v>
      </c>
    </row>
    <row r="15" spans="1:13" ht="15" outlineLevel="1">
      <c r="A15" s="184"/>
      <c r="B15" s="84"/>
      <c r="C15" s="84"/>
      <c r="D15" s="84"/>
      <c r="E15" s="84"/>
      <c r="F15" s="85"/>
      <c r="G15" s="85"/>
      <c r="H15" s="85"/>
      <c r="I15" s="85"/>
      <c r="J15" s="85"/>
      <c r="K15" s="85"/>
      <c r="L15" s="85"/>
      <c r="M15" s="85"/>
    </row>
    <row r="16" spans="1:13" ht="15" outlineLevel="1">
      <c r="A16" s="184"/>
      <c r="B16" s="84" t="s">
        <v>109</v>
      </c>
      <c r="C16" s="84"/>
      <c r="D16" s="84"/>
      <c r="E16" s="84"/>
      <c r="F16" s="86">
        <f>Model!F288*-1</f>
        <v>-3458</v>
      </c>
      <c r="G16" s="86">
        <f>Model!G288*-1</f>
        <v>-3582</v>
      </c>
      <c r="H16" s="86">
        <f>Model!H288*-1</f>
        <v>-3633</v>
      </c>
      <c r="I16" s="86">
        <f>Model!I288*-1</f>
        <v>-3445.5400000000004</v>
      </c>
      <c r="J16" s="86">
        <f>Model!J288*-1</f>
        <v>-3487.4769946500001</v>
      </c>
      <c r="K16" s="86">
        <f>Model!K288*-1</f>
        <v>-3522.5745197118003</v>
      </c>
      <c r="L16" s="86">
        <f>Model!L288*-1</f>
        <v>-3554.3918783964446</v>
      </c>
      <c r="M16" s="86">
        <f>Model!M288*-1</f>
        <v>-3639.1378324679717</v>
      </c>
    </row>
    <row r="17" spans="1:13" ht="15" outlineLevel="1">
      <c r="A17" s="184"/>
      <c r="B17" s="87" t="s">
        <v>263</v>
      </c>
      <c r="C17" s="84"/>
      <c r="D17" s="84"/>
      <c r="E17" s="84"/>
      <c r="F17" s="88">
        <f t="shared" ref="F17:M17" si="3">F14+F16</f>
        <v>14063</v>
      </c>
      <c r="G17" s="88">
        <f t="shared" si="3"/>
        <v>14724</v>
      </c>
      <c r="H17" s="88">
        <f t="shared" si="3"/>
        <v>12277</v>
      </c>
      <c r="I17" s="88">
        <f t="shared" si="3"/>
        <v>12383.4512</v>
      </c>
      <c r="J17" s="88">
        <f t="shared" si="3"/>
        <v>12834.191556450003</v>
      </c>
      <c r="K17" s="88">
        <f t="shared" si="3"/>
        <v>12686.430377085137</v>
      </c>
      <c r="L17" s="88">
        <f t="shared" si="3"/>
        <v>13349.957493557904</v>
      </c>
      <c r="M17" s="88">
        <f t="shared" si="3"/>
        <v>14024.014689741245</v>
      </c>
    </row>
    <row r="18" spans="1:13" ht="15" outlineLevel="1">
      <c r="A18" s="184"/>
      <c r="B18" s="84"/>
      <c r="C18" s="84"/>
      <c r="D18" s="84"/>
      <c r="E18" s="84"/>
      <c r="F18" s="85"/>
      <c r="G18" s="85"/>
      <c r="H18" s="85"/>
      <c r="I18" s="85"/>
      <c r="J18" s="85"/>
      <c r="K18" s="85"/>
      <c r="L18" s="85"/>
      <c r="M18" s="85"/>
    </row>
    <row r="19" spans="1:13" ht="15" outlineLevel="1">
      <c r="A19" s="184"/>
      <c r="B19" s="84" t="s">
        <v>264</v>
      </c>
      <c r="C19" s="84"/>
      <c r="D19" s="84"/>
      <c r="E19" s="84"/>
      <c r="F19" s="86">
        <f>SUM(Model!F269:F270)</f>
        <v>-1360</v>
      </c>
      <c r="G19" s="86">
        <f>SUM(Model!G269:G270)</f>
        <v>-1485</v>
      </c>
      <c r="H19" s="86">
        <f>SUM(Model!H269:H270)</f>
        <v>-1526</v>
      </c>
      <c r="I19" s="86">
        <f>SUM(Model!I269:I270)</f>
        <v>-1521.9580000000001</v>
      </c>
      <c r="J19" s="86">
        <f>SUM(Model!J269:J270)</f>
        <v>-1497.6220295499816</v>
      </c>
      <c r="K19" s="86">
        <f>SUM(Model!K269:K270)</f>
        <v>-1467.4328714200983</v>
      </c>
      <c r="L19" s="86">
        <f>SUM(Model!L269:L270)</f>
        <v>-1441.2936023627162</v>
      </c>
      <c r="M19" s="86">
        <f>SUM(Model!M269:M270)</f>
        <v>-1413.5105588908796</v>
      </c>
    </row>
    <row r="20" spans="1:13" ht="15" outlineLevel="1">
      <c r="A20" s="184"/>
      <c r="B20" s="87" t="s">
        <v>117</v>
      </c>
      <c r="C20" s="84"/>
      <c r="D20" s="84"/>
      <c r="E20" s="84"/>
      <c r="F20" s="88">
        <f t="shared" ref="F20:M20" si="4">F17+F19</f>
        <v>12703</v>
      </c>
      <c r="G20" s="88">
        <f t="shared" si="4"/>
        <v>13239</v>
      </c>
      <c r="H20" s="88">
        <f t="shared" si="4"/>
        <v>10751</v>
      </c>
      <c r="I20" s="88">
        <f t="shared" si="4"/>
        <v>10861.493199999999</v>
      </c>
      <c r="J20" s="88">
        <f t="shared" si="4"/>
        <v>11336.569526900021</v>
      </c>
      <c r="K20" s="88">
        <f t="shared" si="4"/>
        <v>11218.997505665038</v>
      </c>
      <c r="L20" s="88">
        <f t="shared" si="4"/>
        <v>11908.663891195189</v>
      </c>
      <c r="M20" s="88">
        <f t="shared" si="4"/>
        <v>12610.504130850366</v>
      </c>
    </row>
    <row r="21" spans="1:13" ht="15" outlineLevel="1">
      <c r="A21" s="184"/>
      <c r="B21" s="84"/>
      <c r="C21" s="84"/>
      <c r="D21" s="84"/>
      <c r="E21" s="84"/>
      <c r="F21" s="85"/>
      <c r="G21" s="85"/>
      <c r="H21" s="85"/>
      <c r="I21" s="85"/>
      <c r="J21" s="85"/>
      <c r="K21" s="85"/>
      <c r="L21" s="85"/>
      <c r="M21" s="85"/>
    </row>
    <row r="22" spans="1:13" ht="15" outlineLevel="1">
      <c r="A22" s="184"/>
      <c r="B22" s="84" t="s">
        <v>46</v>
      </c>
      <c r="C22" s="84"/>
      <c r="D22" s="84"/>
      <c r="E22" s="84"/>
      <c r="F22" s="85">
        <f>Model!F273</f>
        <v>-2314</v>
      </c>
      <c r="G22" s="85">
        <f>Model!G273</f>
        <v>-3314</v>
      </c>
      <c r="H22" s="85">
        <f>Model!H273</f>
        <v>-2640</v>
      </c>
      <c r="I22" s="85">
        <f>Model!I273</f>
        <v>-2552.4509019999996</v>
      </c>
      <c r="J22" s="85">
        <f>Model!J273</f>
        <v>-2664.0938388215054</v>
      </c>
      <c r="K22" s="85">
        <f>Model!K273</f>
        <v>-2636.4644138312838</v>
      </c>
      <c r="L22" s="85">
        <f>Model!L273</f>
        <v>-2798.5360144308697</v>
      </c>
      <c r="M22" s="85">
        <f>Model!M273</f>
        <v>-2963.4684707498359</v>
      </c>
    </row>
    <row r="23" spans="1:13" ht="15" outlineLevel="1">
      <c r="A23" s="184"/>
      <c r="B23" s="84" t="s">
        <v>130</v>
      </c>
      <c r="C23" s="84"/>
      <c r="D23" s="84"/>
      <c r="E23" s="84"/>
      <c r="F23" s="86">
        <f>Model!F274</f>
        <v>1120</v>
      </c>
      <c r="G23" s="86">
        <f>Model!G274</f>
        <v>1249</v>
      </c>
      <c r="H23" s="86">
        <f>Model!H274</f>
        <v>1143</v>
      </c>
      <c r="I23" s="86">
        <f>Model!I274</f>
        <v>1177.29</v>
      </c>
      <c r="J23" s="86">
        <f>Model!J274</f>
        <v>1224.3815999999999</v>
      </c>
      <c r="K23" s="86">
        <f>Model!K274</f>
        <v>1273.3568640000001</v>
      </c>
      <c r="L23" s="86">
        <f>Model!L274</f>
        <v>1337.0247072000002</v>
      </c>
      <c r="M23" s="86">
        <f>Model!M274</f>
        <v>1403.8759425600003</v>
      </c>
    </row>
    <row r="24" spans="1:13" ht="15" outlineLevel="1">
      <c r="A24" s="184"/>
      <c r="B24" s="87" t="s">
        <v>265</v>
      </c>
      <c r="C24" s="84"/>
      <c r="D24" s="84"/>
      <c r="E24" s="84"/>
      <c r="F24" s="88">
        <f t="shared" ref="F24:M24" si="5">SUM(F20:F23)</f>
        <v>11509</v>
      </c>
      <c r="G24" s="88">
        <f t="shared" si="5"/>
        <v>11174</v>
      </c>
      <c r="H24" s="88">
        <f t="shared" si="5"/>
        <v>9254</v>
      </c>
      <c r="I24" s="88">
        <f t="shared" si="5"/>
        <v>9486.3322980000012</v>
      </c>
      <c r="J24" s="88">
        <f t="shared" si="5"/>
        <v>9896.8572880785159</v>
      </c>
      <c r="K24" s="88">
        <f t="shared" si="5"/>
        <v>9855.8899558337544</v>
      </c>
      <c r="L24" s="88">
        <f t="shared" si="5"/>
        <v>10447.15258396432</v>
      </c>
      <c r="M24" s="88">
        <f t="shared" si="5"/>
        <v>11050.91160266053</v>
      </c>
    </row>
    <row r="25" spans="1:13" ht="15" outlineLevel="1">
      <c r="A25" s="184"/>
      <c r="B25" s="84"/>
      <c r="C25" s="84"/>
      <c r="D25" s="84"/>
      <c r="E25" s="84"/>
      <c r="F25" s="85"/>
      <c r="G25" s="85"/>
      <c r="H25" s="85"/>
      <c r="I25" s="85"/>
      <c r="J25" s="85"/>
      <c r="K25" s="85"/>
      <c r="L25" s="85"/>
      <c r="M25" s="85"/>
    </row>
    <row r="26" spans="1:13" ht="15" outlineLevel="1">
      <c r="A26" s="184"/>
      <c r="B26" s="87" t="s">
        <v>162</v>
      </c>
      <c r="C26" s="84"/>
      <c r="D26" s="84"/>
      <c r="E26" s="84"/>
      <c r="F26" s="86">
        <f>Model!F277</f>
        <v>300</v>
      </c>
      <c r="G26" s="86">
        <f>Model!G277</f>
        <v>290</v>
      </c>
      <c r="H26" s="86">
        <f>Model!H277</f>
        <v>221</v>
      </c>
      <c r="I26" s="86">
        <f>Model!I277</f>
        <v>237.15830745000005</v>
      </c>
      <c r="J26" s="86">
        <f>Model!J277</f>
        <v>247.421432201963</v>
      </c>
      <c r="K26" s="86">
        <f>Model!K277</f>
        <v>246.39724889584386</v>
      </c>
      <c r="L26" s="86">
        <f>Model!L277</f>
        <v>261.17881459910802</v>
      </c>
      <c r="M26" s="86">
        <f>Model!M277</f>
        <v>276.27279006651327</v>
      </c>
    </row>
    <row r="27" spans="1:13" ht="15" outlineLevel="1">
      <c r="A27" s="184"/>
      <c r="B27" s="87" t="s">
        <v>266</v>
      </c>
      <c r="C27" s="84"/>
      <c r="D27" s="84"/>
      <c r="E27" s="84"/>
      <c r="F27" s="88">
        <f>Model!F278</f>
        <v>11209</v>
      </c>
      <c r="G27" s="88">
        <f>Model!G278</f>
        <v>10884</v>
      </c>
      <c r="H27" s="88">
        <f>Model!H278</f>
        <v>9033</v>
      </c>
      <c r="I27" s="88">
        <f>Model!I278</f>
        <v>9249.1739905500017</v>
      </c>
      <c r="J27" s="88">
        <f>Model!J278</f>
        <v>9649.4358558765562</v>
      </c>
      <c r="K27" s="88">
        <f>Model!K278</f>
        <v>9609.49270693791</v>
      </c>
      <c r="L27" s="88">
        <f>Model!L278</f>
        <v>10185.973769365211</v>
      </c>
      <c r="M27" s="88">
        <f>Model!M278</f>
        <v>10774.638812594016</v>
      </c>
    </row>
    <row r="28" spans="1:13" ht="15" outlineLevel="1">
      <c r="A28" s="184"/>
      <c r="B28" s="87"/>
      <c r="C28" s="84"/>
      <c r="D28" s="84"/>
      <c r="E28" s="84"/>
      <c r="F28" s="88"/>
      <c r="G28" s="88"/>
      <c r="H28" s="88"/>
      <c r="I28" s="88"/>
      <c r="J28" s="88"/>
      <c r="K28" s="88"/>
      <c r="L28" s="88"/>
      <c r="M28" s="88"/>
    </row>
    <row r="29" spans="1:13" ht="16.8" outlineLevel="1">
      <c r="A29" s="182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spans="1:13" ht="16.8">
      <c r="A30" s="182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ht="16.8">
      <c r="A31" s="182" t="s">
        <v>61</v>
      </c>
      <c r="B31" s="81" t="s">
        <v>267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</row>
    <row r="32" spans="1:13" ht="16.8" outlineLevel="1">
      <c r="A32" s="182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s="1" customFormat="1" ht="17.399999999999999" outlineLevel="1" thickBot="1">
      <c r="A33" s="183"/>
      <c r="B33" s="12" t="str">
        <f>Input!$B$131</f>
        <v>All figures in CHF millions unless stated</v>
      </c>
      <c r="C33" s="7"/>
      <c r="D33" s="7"/>
      <c r="E33" s="7"/>
      <c r="F33" s="13">
        <f>F$2</f>
        <v>2023</v>
      </c>
      <c r="G33" s="13">
        <f t="shared" ref="G33:M33" si="6">G$2</f>
        <v>2024</v>
      </c>
      <c r="H33" s="13">
        <f t="shared" si="6"/>
        <v>2025</v>
      </c>
      <c r="I33" s="14">
        <f t="shared" si="6"/>
        <v>2026</v>
      </c>
      <c r="J33" s="14">
        <f t="shared" si="6"/>
        <v>2027</v>
      </c>
      <c r="K33" s="14">
        <f t="shared" si="6"/>
        <v>2028</v>
      </c>
      <c r="L33" s="14">
        <f t="shared" si="6"/>
        <v>2029</v>
      </c>
      <c r="M33" s="14">
        <f t="shared" si="6"/>
        <v>2030</v>
      </c>
    </row>
    <row r="34" spans="1:13" s="1" customFormat="1" ht="17.399999999999999" outlineLevel="1" thickTop="1">
      <c r="A34" s="183"/>
      <c r="B34" s="12" t="str">
        <f>CONCATENATE("Model Running: ",INDEX(Input!$B$12:$B$14,Input!$D$6)," Drivers")</f>
        <v>Model Running: Base Case Drivers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 s="1" customFormat="1" ht="16.8" outlineLevel="1">
      <c r="A35" s="183"/>
      <c r="B35" s="12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 ht="16.8" outlineLevel="1">
      <c r="A36" s="182"/>
      <c r="B36" s="89" t="s">
        <v>268</v>
      </c>
      <c r="C36" s="15"/>
      <c r="D36" s="15"/>
      <c r="E36" s="15"/>
      <c r="F36" s="90">
        <f>Model!F302</f>
        <v>15941</v>
      </c>
      <c r="G36" s="90">
        <f>Model!G302</f>
        <v>16675</v>
      </c>
      <c r="H36" s="90">
        <f>Model!H302</f>
        <v>15904</v>
      </c>
      <c r="I36" s="90">
        <f>Model!I302</f>
        <v>13733.401500413984</v>
      </c>
      <c r="J36" s="90">
        <f>Model!J302</f>
        <v>14174.144064994862</v>
      </c>
      <c r="K36" s="90">
        <f>Model!K302</f>
        <v>14255.556038281829</v>
      </c>
      <c r="L36" s="90">
        <f>Model!L302</f>
        <v>14599.323943189005</v>
      </c>
      <c r="M36" s="90">
        <f>Model!M302</f>
        <v>14942.688881250406</v>
      </c>
    </row>
    <row r="37" spans="1:13" ht="16.8" outlineLevel="1">
      <c r="A37" s="182"/>
      <c r="B37" s="89" t="s">
        <v>269</v>
      </c>
      <c r="C37" s="15"/>
      <c r="D37" s="15"/>
      <c r="E37" s="15"/>
      <c r="F37" s="90">
        <f>Model!F313</f>
        <v>-6196</v>
      </c>
      <c r="G37" s="90">
        <f>Model!G313</f>
        <v>-8624</v>
      </c>
      <c r="H37" s="90">
        <f>Model!H313</f>
        <v>-4367</v>
      </c>
      <c r="I37" s="90">
        <f>Model!I313</f>
        <v>-4766.6848499999996</v>
      </c>
      <c r="J37" s="90">
        <f>Model!J313</f>
        <v>-4746.8986109999996</v>
      </c>
      <c r="K37" s="90">
        <f>Model!K313</f>
        <v>-4770.6331040549985</v>
      </c>
      <c r="L37" s="90">
        <f>Model!L313</f>
        <v>-4819.2568645386373</v>
      </c>
      <c r="M37" s="90">
        <f>Model!M313</f>
        <v>-4954.1960567457181</v>
      </c>
    </row>
    <row r="38" spans="1:13" ht="16.8" outlineLevel="1">
      <c r="A38" s="182"/>
      <c r="B38" s="89" t="s">
        <v>270</v>
      </c>
      <c r="C38" s="15"/>
      <c r="D38" s="15"/>
      <c r="E38" s="15"/>
      <c r="F38" s="90">
        <f>Model!F324</f>
        <v>-9758</v>
      </c>
      <c r="G38" s="90">
        <f>Model!G324</f>
        <v>-7362</v>
      </c>
      <c r="H38" s="90">
        <f>Model!H324</f>
        <v>-12065</v>
      </c>
      <c r="I38" s="90">
        <f>Model!I324</f>
        <v>-9335.4442324132506</v>
      </c>
      <c r="J38" s="90">
        <f>Model!J324</f>
        <v>-8877.3406647995325</v>
      </c>
      <c r="K38" s="90">
        <f>Model!K324</f>
        <v>-8439.3521719315468</v>
      </c>
      <c r="L38" s="90">
        <f>Model!L324</f>
        <v>-8017.6604191368997</v>
      </c>
      <c r="M38" s="90">
        <f>Model!M324</f>
        <v>-10152.276349459156</v>
      </c>
    </row>
    <row r="39" spans="1:13" ht="16.8" outlineLevel="1">
      <c r="A39" s="182"/>
      <c r="B39" s="89"/>
      <c r="C39" s="15"/>
      <c r="D39" s="15"/>
      <c r="E39" s="15"/>
      <c r="F39" s="90"/>
      <c r="G39" s="90"/>
      <c r="H39" s="90"/>
      <c r="I39" s="90"/>
      <c r="J39" s="90"/>
      <c r="K39" s="90"/>
      <c r="L39" s="90"/>
      <c r="M39" s="90"/>
    </row>
    <row r="40" spans="1:13" ht="16.8" outlineLevel="1">
      <c r="A40" s="182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1:13" ht="16.8">
      <c r="A41" s="182"/>
      <c r="B41" s="89"/>
      <c r="C41" s="15"/>
      <c r="D41" s="15"/>
      <c r="E41" s="15"/>
      <c r="F41" s="90"/>
      <c r="G41" s="90"/>
      <c r="H41" s="90"/>
      <c r="I41" s="90"/>
      <c r="J41" s="90"/>
      <c r="K41" s="90"/>
      <c r="L41" s="90"/>
      <c r="M41" s="90"/>
    </row>
    <row r="42" spans="1:13" ht="16.8">
      <c r="A42" s="182" t="s">
        <v>61</v>
      </c>
      <c r="B42" s="81" t="s">
        <v>271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</row>
    <row r="43" spans="1:13" ht="16.8" outlineLevel="1">
      <c r="A43" s="182"/>
      <c r="B43" s="89"/>
      <c r="C43" s="15"/>
      <c r="D43" s="15"/>
      <c r="E43" s="15"/>
      <c r="F43" s="90"/>
      <c r="G43" s="90"/>
      <c r="H43" s="90"/>
      <c r="I43" s="90"/>
      <c r="J43" s="90"/>
      <c r="K43" s="90"/>
      <c r="L43" s="90"/>
      <c r="M43" s="90"/>
    </row>
    <row r="44" spans="1:13" s="1" customFormat="1" ht="17.399999999999999" outlineLevel="1" thickBot="1">
      <c r="A44" s="183"/>
      <c r="B44" s="12" t="str">
        <f>Input!$B$131</f>
        <v>All figures in CHF millions unless stated</v>
      </c>
      <c r="C44" s="7"/>
      <c r="D44" s="7"/>
      <c r="E44" s="7"/>
      <c r="F44" s="13">
        <f>F$2</f>
        <v>2023</v>
      </c>
      <c r="G44" s="13">
        <f t="shared" ref="G44:M44" si="7">G$2</f>
        <v>2024</v>
      </c>
      <c r="H44" s="13">
        <f t="shared" si="7"/>
        <v>2025</v>
      </c>
      <c r="I44" s="14">
        <f t="shared" si="7"/>
        <v>2026</v>
      </c>
      <c r="J44" s="14">
        <f t="shared" si="7"/>
        <v>2027</v>
      </c>
      <c r="K44" s="14">
        <f t="shared" si="7"/>
        <v>2028</v>
      </c>
      <c r="L44" s="14">
        <f t="shared" si="7"/>
        <v>2029</v>
      </c>
      <c r="M44" s="14">
        <f t="shared" si="7"/>
        <v>2030</v>
      </c>
    </row>
    <row r="45" spans="1:13" s="1" customFormat="1" ht="17.399999999999999" outlineLevel="1" thickTop="1">
      <c r="A45" s="183"/>
      <c r="B45" s="12" t="str">
        <f>CONCATENATE("Model Running: ",INDEX(Input!$B$12:$B$14,Input!$D$6)," Drivers")</f>
        <v>Model Running: Base Case Drivers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 s="1" customFormat="1" ht="16.8" outlineLevel="1">
      <c r="A46" s="183"/>
      <c r="B46" s="12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 ht="16.8" outlineLevel="1">
      <c r="A47" s="182"/>
      <c r="B47" s="89" t="s">
        <v>272</v>
      </c>
      <c r="C47" s="15"/>
      <c r="D47" s="15"/>
      <c r="E47" s="15"/>
      <c r="F47" s="90">
        <f>Model!F341</f>
        <v>4816</v>
      </c>
      <c r="G47" s="90">
        <f>Model!G341</f>
        <v>5556</v>
      </c>
      <c r="H47" s="90">
        <f>Model!H341</f>
        <v>4579</v>
      </c>
      <c r="I47" s="90">
        <f>Model!I341</f>
        <v>4210.2724180007335</v>
      </c>
      <c r="J47" s="90">
        <f>Model!J341</f>
        <v>4760.177207196064</v>
      </c>
      <c r="K47" s="90">
        <f>Model!K341</f>
        <v>5805.7479694913472</v>
      </c>
      <c r="L47" s="90">
        <f>Model!L341</f>
        <v>7568.1546290048163</v>
      </c>
      <c r="M47" s="90">
        <f>Model!M341</f>
        <v>7404.3711040503467</v>
      </c>
    </row>
    <row r="48" spans="1:13" ht="16.8" outlineLevel="1">
      <c r="A48" s="182"/>
      <c r="B48" s="89" t="s">
        <v>273</v>
      </c>
      <c r="C48" s="15"/>
      <c r="D48" s="15"/>
      <c r="E48" s="15"/>
      <c r="F48" s="90">
        <f>Model!F344</f>
        <v>10995</v>
      </c>
      <c r="G48" s="90">
        <f>Model!G344</f>
        <v>11251</v>
      </c>
      <c r="H48" s="90">
        <f>Model!H344</f>
        <v>10561</v>
      </c>
      <c r="I48" s="90">
        <f>Model!I344</f>
        <v>10595.370821917808</v>
      </c>
      <c r="J48" s="90">
        <f>Model!J344</f>
        <v>10754.301384246575</v>
      </c>
      <c r="K48" s="90">
        <f>Model!K344</f>
        <v>10682.397624991436</v>
      </c>
      <c r="L48" s="90">
        <f>Model!L344</f>
        <v>10767.856805991369</v>
      </c>
      <c r="M48" s="90">
        <f>Model!M344</f>
        <v>11069.356796559126</v>
      </c>
    </row>
    <row r="49" spans="1:13" ht="16.8" outlineLevel="1">
      <c r="A49" s="182"/>
      <c r="B49" s="89" t="s">
        <v>89</v>
      </c>
      <c r="C49" s="15"/>
      <c r="D49" s="15"/>
      <c r="E49" s="15"/>
      <c r="F49" s="90">
        <f>Model!F343</f>
        <v>11896</v>
      </c>
      <c r="G49" s="90">
        <f>Model!G343</f>
        <v>13260</v>
      </c>
      <c r="H49" s="90">
        <f>Model!H343</f>
        <v>12813</v>
      </c>
      <c r="I49" s="90">
        <f>Model!I343</f>
        <v>12418.185488383562</v>
      </c>
      <c r="J49" s="90">
        <f>Model!J343</f>
        <v>12378.848608259381</v>
      </c>
      <c r="K49" s="90">
        <f>Model!K343</f>
        <v>12321.899442741445</v>
      </c>
      <c r="L49" s="90">
        <f>Model!L343</f>
        <v>12407.283703928075</v>
      </c>
      <c r="M49" s="90">
        <f>Model!M343</f>
        <v>12579.452465465198</v>
      </c>
    </row>
    <row r="50" spans="1:13" ht="16.8" outlineLevel="1">
      <c r="A50" s="182"/>
      <c r="B50" s="89" t="s">
        <v>274</v>
      </c>
      <c r="C50" s="15"/>
      <c r="D50" s="15"/>
      <c r="E50" s="15"/>
      <c r="F50" s="91">
        <f>Model!F342+Model!F345+Model!F346+Model!F347+Model!F348</f>
        <v>3150</v>
      </c>
      <c r="G50" s="91">
        <f>Model!G342+Model!G345+Model!G346+Model!G347+Model!G348</f>
        <v>5121</v>
      </c>
      <c r="H50" s="91">
        <f>Model!H342+Model!H345+Model!H346+Model!H347+Model!H348</f>
        <v>4016</v>
      </c>
      <c r="I50" s="91">
        <f>Model!I342+Model!I345+Model!I346+Model!I347+Model!I348</f>
        <v>4029.8079452054794</v>
      </c>
      <c r="J50" s="91">
        <f>Model!J342+Model!J345+Model!J346+Model!J347+Model!J348</f>
        <v>4037.2000643835618</v>
      </c>
      <c r="K50" s="91">
        <f>Model!K342+Model!K345+Model!K346+Model!K347+Model!K348</f>
        <v>4039.7010647054794</v>
      </c>
      <c r="L50" s="91">
        <f>Model!L342+Model!L345+Model!L346+Model!L347+Model!L348</f>
        <v>4049.755085999589</v>
      </c>
      <c r="M50" s="91">
        <f>Model!M342+Model!M345+Model!M346+Model!M347+Model!M348</f>
        <v>4064.1122284075773</v>
      </c>
    </row>
    <row r="51" spans="1:13" ht="16.8" outlineLevel="1">
      <c r="A51" s="182"/>
      <c r="B51" s="92" t="s">
        <v>275</v>
      </c>
      <c r="C51" s="15"/>
      <c r="D51" s="15"/>
      <c r="E51" s="15"/>
      <c r="F51" s="93">
        <f t="shared" ref="F51:M51" si="8">SUM(F47:F50)</f>
        <v>30857</v>
      </c>
      <c r="G51" s="93">
        <f t="shared" si="8"/>
        <v>35188</v>
      </c>
      <c r="H51" s="93">
        <f t="shared" si="8"/>
        <v>31969</v>
      </c>
      <c r="I51" s="93">
        <f t="shared" si="8"/>
        <v>31253.636673507586</v>
      </c>
      <c r="J51" s="93">
        <f t="shared" si="8"/>
        <v>31930.527264085584</v>
      </c>
      <c r="K51" s="93">
        <f t="shared" si="8"/>
        <v>32849.746101929704</v>
      </c>
      <c r="L51" s="93">
        <f t="shared" si="8"/>
        <v>34793.050224923849</v>
      </c>
      <c r="M51" s="93">
        <f t="shared" si="8"/>
        <v>35117.292594482249</v>
      </c>
    </row>
    <row r="52" spans="1:13" ht="16.8" outlineLevel="1">
      <c r="A52" s="182"/>
      <c r="B52" s="94"/>
      <c r="C52" s="15"/>
      <c r="D52" s="15"/>
      <c r="E52" s="15"/>
      <c r="F52" s="90"/>
      <c r="G52" s="90"/>
      <c r="H52" s="90"/>
      <c r="I52" s="90"/>
      <c r="J52" s="90"/>
      <c r="K52" s="90"/>
      <c r="L52" s="90"/>
      <c r="M52" s="90"/>
    </row>
    <row r="53" spans="1:13" ht="16.8" outlineLevel="1">
      <c r="A53" s="182"/>
      <c r="B53" s="95" t="s">
        <v>276</v>
      </c>
      <c r="C53" s="95"/>
      <c r="D53" s="15"/>
      <c r="E53" s="15"/>
      <c r="F53" s="90">
        <f>Model!F352</f>
        <v>30467</v>
      </c>
      <c r="G53" s="90">
        <f>Model!G352</f>
        <v>33706</v>
      </c>
      <c r="H53" s="90">
        <f>Model!H352</f>
        <v>32549</v>
      </c>
      <c r="I53" s="90">
        <f>Model!I352</f>
        <v>34027.226049999997</v>
      </c>
      <c r="J53" s="90">
        <f>Model!J352</f>
        <v>35444.6231685475</v>
      </c>
      <c r="K53" s="90">
        <f>Model!K352</f>
        <v>36854.096153612474</v>
      </c>
      <c r="L53" s="90">
        <f>Model!L352</f>
        <v>38231.019807136974</v>
      </c>
      <c r="M53" s="90">
        <f>Model!M352</f>
        <v>39659.057788705199</v>
      </c>
    </row>
    <row r="54" spans="1:13" ht="16.8" outlineLevel="1">
      <c r="A54" s="182"/>
      <c r="B54" s="95" t="s">
        <v>277</v>
      </c>
      <c r="C54" s="95"/>
      <c r="D54" s="15"/>
      <c r="E54" s="15"/>
      <c r="F54" s="91">
        <f>SUM(Model!F353:F359)</f>
        <v>65226</v>
      </c>
      <c r="G54" s="91">
        <f>SUM(Model!G353:G359)</f>
        <v>70370</v>
      </c>
      <c r="H54" s="91">
        <f>SUM(Model!H353:H359)</f>
        <v>62633</v>
      </c>
      <c r="I54" s="91">
        <f>SUM(Model!I353:I359)</f>
        <v>61922.625574999998</v>
      </c>
      <c r="J54" s="91">
        <f>SUM(Model!J353:J359)</f>
        <v>61457.026834546254</v>
      </c>
      <c r="K54" s="91">
        <f>SUM(Model!K353:K359)</f>
        <v>61142.614165561616</v>
      </c>
      <c r="L54" s="91">
        <f>SUM(Model!L353:L359)</f>
        <v>61019.698415048617</v>
      </c>
      <c r="M54" s="91">
        <f>SUM(Model!M353:M359)</f>
        <v>60989.880441288609</v>
      </c>
    </row>
    <row r="55" spans="1:13" ht="16.8" outlineLevel="1">
      <c r="A55" s="182"/>
      <c r="B55" s="94" t="s">
        <v>278</v>
      </c>
      <c r="C55" s="15"/>
      <c r="D55" s="15"/>
      <c r="E55" s="15"/>
      <c r="F55" s="93">
        <f t="shared" ref="F55:M55" si="9">SUM(F53:F54)</f>
        <v>95693</v>
      </c>
      <c r="G55" s="93">
        <f t="shared" si="9"/>
        <v>104076</v>
      </c>
      <c r="H55" s="93">
        <f t="shared" si="9"/>
        <v>95182</v>
      </c>
      <c r="I55" s="93">
        <f t="shared" si="9"/>
        <v>95949.851624999996</v>
      </c>
      <c r="J55" s="93">
        <f t="shared" si="9"/>
        <v>96901.65000309376</v>
      </c>
      <c r="K55" s="93">
        <f t="shared" si="9"/>
        <v>97996.71031917409</v>
      </c>
      <c r="L55" s="93">
        <f t="shared" si="9"/>
        <v>99250.718222185591</v>
      </c>
      <c r="M55" s="93">
        <f t="shared" si="9"/>
        <v>100648.9382299938</v>
      </c>
    </row>
    <row r="56" spans="1:13" ht="16.8" outlineLevel="1">
      <c r="A56" s="182"/>
      <c r="B56" s="94" t="s">
        <v>279</v>
      </c>
      <c r="C56" s="15"/>
      <c r="D56" s="15"/>
      <c r="E56" s="15"/>
      <c r="F56" s="93">
        <f t="shared" ref="F56:M56" si="10">F51+F55</f>
        <v>126550</v>
      </c>
      <c r="G56" s="93">
        <f t="shared" si="10"/>
        <v>139264</v>
      </c>
      <c r="H56" s="93">
        <f t="shared" si="10"/>
        <v>127151</v>
      </c>
      <c r="I56" s="93">
        <f t="shared" si="10"/>
        <v>127203.48829850758</v>
      </c>
      <c r="J56" s="93">
        <f t="shared" si="10"/>
        <v>128832.17726717934</v>
      </c>
      <c r="K56" s="93">
        <f t="shared" si="10"/>
        <v>130846.45642110379</v>
      </c>
      <c r="L56" s="93">
        <f t="shared" si="10"/>
        <v>134043.76844710944</v>
      </c>
      <c r="M56" s="93">
        <f t="shared" si="10"/>
        <v>135766.23082447605</v>
      </c>
    </row>
    <row r="57" spans="1:13" ht="16.8" outlineLevel="1">
      <c r="A57" s="182"/>
      <c r="B57" s="94"/>
      <c r="C57" s="15"/>
      <c r="D57" s="15"/>
      <c r="E57" s="15"/>
      <c r="F57" s="90"/>
      <c r="G57" s="90"/>
      <c r="H57" s="90"/>
      <c r="I57" s="90"/>
      <c r="J57" s="90"/>
      <c r="K57" s="90"/>
      <c r="L57" s="90"/>
      <c r="M57" s="90"/>
    </row>
    <row r="58" spans="1:13" ht="16.8" outlineLevel="1">
      <c r="A58" s="182"/>
      <c r="B58" s="15" t="s">
        <v>280</v>
      </c>
      <c r="C58" s="15"/>
      <c r="D58" s="15"/>
      <c r="E58" s="15"/>
      <c r="F58" s="90">
        <f>Model!F366</f>
        <v>19204</v>
      </c>
      <c r="G58" s="90">
        <f>Model!G366</f>
        <v>21807</v>
      </c>
      <c r="H58" s="90">
        <f>Model!H366</f>
        <v>20023</v>
      </c>
      <c r="I58" s="90">
        <f>Model!I366</f>
        <v>20029.331432876712</v>
      </c>
      <c r="J58" s="90">
        <f>Model!J366</f>
        <v>20404.695508119858</v>
      </c>
      <c r="K58" s="90">
        <f>Model!K366</f>
        <v>20767.246251811426</v>
      </c>
      <c r="L58" s="90">
        <f>Model!L366</f>
        <v>21148.779040786492</v>
      </c>
      <c r="M58" s="90">
        <f>Model!M366</f>
        <v>21688.711147353792</v>
      </c>
    </row>
    <row r="59" spans="1:13" ht="16.8" outlineLevel="1">
      <c r="A59" s="182"/>
      <c r="B59" s="15" t="s">
        <v>281</v>
      </c>
      <c r="C59" s="15"/>
      <c r="D59" s="15"/>
      <c r="E59" s="15"/>
      <c r="F59" s="91">
        <f>SUM(Model!F364:F365)+SUM(Model!F367:F371)</f>
        <v>17880</v>
      </c>
      <c r="G59" s="91">
        <f>SUM(Model!G364:G365)+SUM(Model!G367:G371)</f>
        <v>21056</v>
      </c>
      <c r="H59" s="91">
        <f>SUM(Model!H364:H365)+SUM(Model!H367:H371)</f>
        <v>20671</v>
      </c>
      <c r="I59" s="91">
        <f>SUM(Model!I364:I365)+SUM(Model!I367:I371)</f>
        <v>20170.147048767125</v>
      </c>
      <c r="J59" s="91">
        <f>SUM(Model!J364:J365)+SUM(Model!J367:J371)</f>
        <v>20156.854215498628</v>
      </c>
      <c r="K59" s="91">
        <f>SUM(Model!K364:K365)+SUM(Model!K367:K371)</f>
        <v>20253.534413816382</v>
      </c>
      <c r="L59" s="91">
        <f>SUM(Model!L364:L365)+SUM(Model!L367:L371)</f>
        <v>20608.524371948308</v>
      </c>
      <c r="M59" s="91">
        <f>SUM(Model!M364:M365)+SUM(Model!M367:M371)</f>
        <v>20869.484395418032</v>
      </c>
    </row>
    <row r="60" spans="1:13" ht="16.8" outlineLevel="1">
      <c r="A60" s="182"/>
      <c r="B60" s="94" t="s">
        <v>282</v>
      </c>
      <c r="C60" s="15"/>
      <c r="D60" s="15"/>
      <c r="E60" s="15"/>
      <c r="F60" s="93">
        <f t="shared" ref="F60:M60" si="11">SUM(F58:F59)</f>
        <v>37084</v>
      </c>
      <c r="G60" s="93">
        <f t="shared" si="11"/>
        <v>42863</v>
      </c>
      <c r="H60" s="93">
        <f t="shared" si="11"/>
        <v>40694</v>
      </c>
      <c r="I60" s="93">
        <f t="shared" si="11"/>
        <v>40199.478481643833</v>
      </c>
      <c r="J60" s="93">
        <f t="shared" si="11"/>
        <v>40561.549723618489</v>
      </c>
      <c r="K60" s="93">
        <f t="shared" si="11"/>
        <v>41020.780665627812</v>
      </c>
      <c r="L60" s="93">
        <f t="shared" si="11"/>
        <v>41757.3034127348</v>
      </c>
      <c r="M60" s="93">
        <f t="shared" si="11"/>
        <v>42558.19554277182</v>
      </c>
    </row>
    <row r="61" spans="1:13" ht="16.8" outlineLevel="1">
      <c r="A61" s="182"/>
      <c r="B61" s="94"/>
      <c r="C61" s="15"/>
      <c r="D61" s="15"/>
      <c r="E61" s="15"/>
      <c r="F61" s="90"/>
      <c r="G61" s="90"/>
      <c r="H61" s="90"/>
      <c r="I61" s="90"/>
      <c r="J61" s="90"/>
      <c r="K61" s="90"/>
      <c r="L61" s="90"/>
      <c r="M61" s="90"/>
    </row>
    <row r="62" spans="1:13" ht="16.8" outlineLevel="1">
      <c r="A62" s="182"/>
      <c r="B62" s="95" t="s">
        <v>41</v>
      </c>
      <c r="C62" s="15"/>
      <c r="D62" s="15"/>
      <c r="E62" s="15"/>
      <c r="F62" s="90">
        <f>Model!F375</f>
        <v>45825</v>
      </c>
      <c r="G62" s="90">
        <f>Model!G375</f>
        <v>51697</v>
      </c>
      <c r="H62" s="90">
        <f>Model!H375</f>
        <v>46246</v>
      </c>
      <c r="I62" s="90">
        <f>Model!I375</f>
        <v>45355.968000000001</v>
      </c>
      <c r="J62" s="90">
        <f>Model!J375</f>
        <v>44902.408320000002</v>
      </c>
      <c r="K62" s="90">
        <f>Model!K375</f>
        <v>44902.408320000002</v>
      </c>
      <c r="L62" s="90">
        <f>Model!L375</f>
        <v>45351.4324032</v>
      </c>
      <c r="M62" s="90">
        <f>Model!M375</f>
        <v>45804.946727231996</v>
      </c>
    </row>
    <row r="63" spans="1:13" ht="16.8" outlineLevel="1">
      <c r="A63" s="182"/>
      <c r="B63" s="95" t="s">
        <v>283</v>
      </c>
      <c r="C63" s="15"/>
      <c r="D63" s="15"/>
      <c r="E63" s="15"/>
      <c r="F63" s="91">
        <f>SUM(Model!F376:F380)</f>
        <v>7254</v>
      </c>
      <c r="G63" s="91">
        <f>SUM(Model!G376:G380)</f>
        <v>8011</v>
      </c>
      <c r="H63" s="91">
        <f>SUM(Model!H376:H380)</f>
        <v>7153</v>
      </c>
      <c r="I63" s="91">
        <f>SUM(Model!I376:I380)</f>
        <v>7282.1137512770001</v>
      </c>
      <c r="J63" s="91">
        <f>SUM(Model!J376:J380)</f>
        <v>7415.8249346951097</v>
      </c>
      <c r="K63" s="91">
        <f>SUM(Model!K376:K380)</f>
        <v>7554.3353627080432</v>
      </c>
      <c r="L63" s="91">
        <f>SUM(Model!L376:L380)</f>
        <v>7697.8884975792662</v>
      </c>
      <c r="M63" s="91">
        <f>SUM(Model!M376:M380)</f>
        <v>7834.2020727154795</v>
      </c>
    </row>
    <row r="64" spans="1:13" ht="16.8" outlineLevel="1">
      <c r="A64" s="182"/>
      <c r="B64" s="94" t="s">
        <v>284</v>
      </c>
      <c r="C64" s="15"/>
      <c r="D64" s="15"/>
      <c r="E64" s="15"/>
      <c r="F64" s="93">
        <f t="shared" ref="F64:M64" si="12">SUM(F62:F63)</f>
        <v>53079</v>
      </c>
      <c r="G64" s="93">
        <f t="shared" si="12"/>
        <v>59708</v>
      </c>
      <c r="H64" s="93">
        <f t="shared" si="12"/>
        <v>53399</v>
      </c>
      <c r="I64" s="93">
        <f t="shared" si="12"/>
        <v>52638.081751277001</v>
      </c>
      <c r="J64" s="93">
        <f t="shared" si="12"/>
        <v>52318.233254695115</v>
      </c>
      <c r="K64" s="93">
        <f t="shared" si="12"/>
        <v>52456.743682708046</v>
      </c>
      <c r="L64" s="93">
        <f t="shared" si="12"/>
        <v>53049.320900779268</v>
      </c>
      <c r="M64" s="93">
        <f t="shared" si="12"/>
        <v>53639.148799947478</v>
      </c>
    </row>
    <row r="65" spans="1:13" ht="16.8" outlineLevel="1">
      <c r="A65" s="182"/>
      <c r="B65" s="94" t="s">
        <v>285</v>
      </c>
      <c r="C65" s="15"/>
      <c r="D65" s="15"/>
      <c r="E65" s="15"/>
      <c r="F65" s="93">
        <f t="shared" ref="F65:M65" si="13">F64+F60</f>
        <v>90163</v>
      </c>
      <c r="G65" s="93">
        <f t="shared" si="13"/>
        <v>102571</v>
      </c>
      <c r="H65" s="93">
        <f t="shared" si="13"/>
        <v>94093</v>
      </c>
      <c r="I65" s="93">
        <f t="shared" si="13"/>
        <v>92837.560232920834</v>
      </c>
      <c r="J65" s="93">
        <f t="shared" si="13"/>
        <v>92879.782978313597</v>
      </c>
      <c r="K65" s="93">
        <f t="shared" si="13"/>
        <v>93477.524348335864</v>
      </c>
      <c r="L65" s="93">
        <f t="shared" si="13"/>
        <v>94806.624313514068</v>
      </c>
      <c r="M65" s="93">
        <f t="shared" si="13"/>
        <v>96197.344342719298</v>
      </c>
    </row>
    <row r="66" spans="1:13" ht="16.8" outlineLevel="1">
      <c r="A66" s="182"/>
      <c r="B66" s="94"/>
      <c r="C66" s="15"/>
      <c r="D66" s="15"/>
      <c r="E66" s="15"/>
      <c r="F66" s="90"/>
      <c r="G66" s="90"/>
      <c r="H66" s="90"/>
      <c r="I66" s="90"/>
      <c r="J66" s="90"/>
      <c r="K66" s="90"/>
      <c r="L66" s="90"/>
      <c r="M66" s="90"/>
    </row>
    <row r="67" spans="1:13" ht="16.8" outlineLevel="1">
      <c r="A67" s="182"/>
      <c r="B67" s="95" t="s">
        <v>286</v>
      </c>
      <c r="C67" s="15"/>
      <c r="D67" s="15"/>
      <c r="E67" s="15"/>
      <c r="F67" s="90">
        <f>Model!F390</f>
        <v>35742</v>
      </c>
      <c r="G67" s="90">
        <f>Model!G390</f>
        <v>35917</v>
      </c>
      <c r="H67" s="90">
        <f>Model!H390</f>
        <v>32810</v>
      </c>
      <c r="I67" s="90">
        <f>Model!I390</f>
        <v>34058.638488724246</v>
      </c>
      <c r="J67" s="90">
        <f>Model!J390</f>
        <v>35583.249353952735</v>
      </c>
      <c r="K67" s="90">
        <f>Model!K390</f>
        <v>36938.187825630972</v>
      </c>
      <c r="L67" s="90">
        <f>Model!L390</f>
        <v>38741.10518280862</v>
      </c>
      <c r="M67" s="90">
        <f>Model!M390</f>
        <v>39003.779333453364</v>
      </c>
    </row>
    <row r="68" spans="1:13" ht="16.8" outlineLevel="1">
      <c r="A68" s="182"/>
      <c r="B68" s="95" t="s">
        <v>74</v>
      </c>
      <c r="C68" s="15"/>
      <c r="D68" s="15"/>
      <c r="E68" s="15"/>
      <c r="F68" s="91">
        <f>Model!F391</f>
        <v>645</v>
      </c>
      <c r="G68" s="91">
        <f>Model!G391</f>
        <v>776</v>
      </c>
      <c r="H68" s="91">
        <f>Model!H391</f>
        <v>248</v>
      </c>
      <c r="I68" s="91">
        <f>Model!I391</f>
        <v>307.28957686249998</v>
      </c>
      <c r="J68" s="91">
        <f>Model!J391</f>
        <v>369.14493491299078</v>
      </c>
      <c r="K68" s="91">
        <f>Model!K391</f>
        <v>430.74424713695169</v>
      </c>
      <c r="L68" s="91">
        <f>Model!L391</f>
        <v>496.03895078672872</v>
      </c>
      <c r="M68" s="91">
        <f>Model!M391</f>
        <v>565.10714830335701</v>
      </c>
    </row>
    <row r="69" spans="1:13" ht="16.8" outlineLevel="1">
      <c r="A69" s="182"/>
      <c r="B69" s="94" t="s">
        <v>255</v>
      </c>
      <c r="C69" s="15"/>
      <c r="D69" s="15"/>
      <c r="E69" s="15"/>
      <c r="F69" s="93">
        <f t="shared" ref="F69:M69" si="14">SUM(F67:F68)</f>
        <v>36387</v>
      </c>
      <c r="G69" s="93">
        <f t="shared" si="14"/>
        <v>36693</v>
      </c>
      <c r="H69" s="93">
        <f t="shared" si="14"/>
        <v>33058</v>
      </c>
      <c r="I69" s="93">
        <f t="shared" si="14"/>
        <v>34365.928065586748</v>
      </c>
      <c r="J69" s="93">
        <f t="shared" si="14"/>
        <v>35952.394288865726</v>
      </c>
      <c r="K69" s="93">
        <f t="shared" si="14"/>
        <v>37368.932072767922</v>
      </c>
      <c r="L69" s="93">
        <f t="shared" si="14"/>
        <v>39237.14413359535</v>
      </c>
      <c r="M69" s="93">
        <f t="shared" si="14"/>
        <v>39568.886481756723</v>
      </c>
    </row>
    <row r="70" spans="1:13" ht="16.8" outlineLevel="1">
      <c r="A70" s="182"/>
      <c r="B70" s="94" t="s">
        <v>256</v>
      </c>
      <c r="C70" s="15"/>
      <c r="D70" s="15"/>
      <c r="E70" s="15"/>
      <c r="F70" s="93">
        <f t="shared" ref="F70:M70" si="15">F69+F65</f>
        <v>126550</v>
      </c>
      <c r="G70" s="93">
        <f t="shared" si="15"/>
        <v>139264</v>
      </c>
      <c r="H70" s="93">
        <f t="shared" si="15"/>
        <v>127151</v>
      </c>
      <c r="I70" s="93">
        <f t="shared" si="15"/>
        <v>127203.48829850758</v>
      </c>
      <c r="J70" s="93">
        <f t="shared" si="15"/>
        <v>128832.17726717933</v>
      </c>
      <c r="K70" s="93">
        <f t="shared" si="15"/>
        <v>130846.45642110379</v>
      </c>
      <c r="L70" s="93">
        <f t="shared" si="15"/>
        <v>134043.76844710941</v>
      </c>
      <c r="M70" s="93">
        <f t="shared" si="15"/>
        <v>135766.23082447602</v>
      </c>
    </row>
    <row r="71" spans="1:13" ht="16.8" outlineLevel="1">
      <c r="A71" s="182"/>
      <c r="B71" s="89"/>
      <c r="C71" s="15"/>
      <c r="D71" s="15"/>
      <c r="E71" s="15"/>
      <c r="F71" s="90"/>
      <c r="G71" s="90"/>
      <c r="H71" s="90"/>
      <c r="I71" s="90"/>
      <c r="J71" s="90"/>
      <c r="K71" s="90"/>
      <c r="L71" s="90"/>
      <c r="M71" s="90"/>
    </row>
    <row r="72" spans="1:13" ht="16.8" outlineLevel="1">
      <c r="A72" s="182"/>
      <c r="B72" s="96"/>
      <c r="C72" s="19"/>
      <c r="D72" s="19"/>
      <c r="E72" s="19"/>
      <c r="F72" s="91"/>
      <c r="G72" s="91"/>
      <c r="H72" s="91"/>
      <c r="I72" s="91"/>
      <c r="J72" s="91"/>
      <c r="K72" s="91"/>
      <c r="L72" s="91"/>
      <c r="M72" s="91"/>
    </row>
    <row r="73" spans="1:13" ht="16.8">
      <c r="A73" s="182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ht="16.8">
      <c r="A74" s="182" t="s">
        <v>61</v>
      </c>
      <c r="B74" s="81" t="s">
        <v>287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</row>
    <row r="75" spans="1:13" ht="16.8" outlineLevel="1">
      <c r="A75" s="182"/>
      <c r="B75" s="89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13" s="1" customFormat="1" ht="17.399999999999999" outlineLevel="1" thickBot="1">
      <c r="A76" s="183"/>
      <c r="B76" s="12" t="str">
        <f>Input!$B$131</f>
        <v>All figures in CHF millions unless stated</v>
      </c>
      <c r="C76" s="7"/>
      <c r="D76" s="7"/>
      <c r="E76" s="7"/>
      <c r="F76" s="13">
        <f>F$2</f>
        <v>2023</v>
      </c>
      <c r="G76" s="13">
        <f t="shared" ref="G76:M76" si="16">G$2</f>
        <v>2024</v>
      </c>
      <c r="H76" s="13">
        <f t="shared" si="16"/>
        <v>2025</v>
      </c>
      <c r="I76" s="14">
        <f t="shared" si="16"/>
        <v>2026</v>
      </c>
      <c r="J76" s="14">
        <f t="shared" si="16"/>
        <v>2027</v>
      </c>
      <c r="K76" s="14">
        <f t="shared" si="16"/>
        <v>2028</v>
      </c>
      <c r="L76" s="14">
        <f t="shared" si="16"/>
        <v>2029</v>
      </c>
      <c r="M76" s="14">
        <f t="shared" si="16"/>
        <v>2030</v>
      </c>
    </row>
    <row r="77" spans="1:13" s="1" customFormat="1" ht="17.399999999999999" outlineLevel="1" thickTop="1">
      <c r="A77" s="183"/>
      <c r="B77" s="12" t="str">
        <f>CONCATENATE("Model Running: ",INDEX(Input!$B$12:$B$14,Input!$D$6)," Drivers")</f>
        <v>Model Running: Base Case Drivers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s="1" customFormat="1" ht="16.8" outlineLevel="1">
      <c r="A78" s="183"/>
      <c r="B78" s="12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16.8" outlineLevel="1">
      <c r="A79" s="182"/>
      <c r="B79" s="89" t="s">
        <v>288</v>
      </c>
      <c r="C79" s="15"/>
      <c r="D79" s="15"/>
      <c r="E79" s="15"/>
      <c r="F79" s="97">
        <f t="shared" ref="F79:M79" si="17">F24/F69</f>
        <v>0.31629428092450601</v>
      </c>
      <c r="G79" s="97">
        <f t="shared" si="17"/>
        <v>0.30452674897119342</v>
      </c>
      <c r="H79" s="97">
        <f t="shared" si="17"/>
        <v>0.27993224030491864</v>
      </c>
      <c r="I79" s="97">
        <f t="shared" si="17"/>
        <v>0.27603888013428618</v>
      </c>
      <c r="J79" s="97">
        <f t="shared" si="17"/>
        <v>0.27527672311781254</v>
      </c>
      <c r="K79" s="97">
        <f t="shared" si="17"/>
        <v>0.26374556106236963</v>
      </c>
      <c r="L79" s="97">
        <f t="shared" si="17"/>
        <v>0.26625670177201638</v>
      </c>
      <c r="M79" s="97">
        <f t="shared" si="17"/>
        <v>0.27928285542620879</v>
      </c>
    </row>
    <row r="80" spans="1:13" ht="16.8" outlineLevel="1">
      <c r="A80" s="182"/>
      <c r="B80" s="89" t="s">
        <v>289</v>
      </c>
      <c r="C80" s="15"/>
      <c r="D80" s="15"/>
      <c r="E80" s="15"/>
      <c r="F80" s="97">
        <f t="shared" ref="F80:M80" si="18">F24/F56</f>
        <v>9.0944290794152505E-2</v>
      </c>
      <c r="G80" s="97">
        <f t="shared" si="18"/>
        <v>8.023609834558823E-2</v>
      </c>
      <c r="H80" s="97">
        <f t="shared" si="18"/>
        <v>7.2779608496983894E-2</v>
      </c>
      <c r="I80" s="97">
        <f t="shared" si="18"/>
        <v>7.4576038950586704E-2</v>
      </c>
      <c r="J80" s="97">
        <f t="shared" si="18"/>
        <v>7.6819762717770898E-2</v>
      </c>
      <c r="K80" s="97">
        <f t="shared" si="18"/>
        <v>7.5324087678114077E-2</v>
      </c>
      <c r="L80" s="97">
        <f t="shared" si="18"/>
        <v>7.7938368228482949E-2</v>
      </c>
      <c r="M80" s="97">
        <f t="shared" si="18"/>
        <v>8.139661486918337E-2</v>
      </c>
    </row>
    <row r="81" spans="1:13" ht="16.8" outlineLevel="1">
      <c r="A81" s="182"/>
      <c r="B81" s="89" t="s">
        <v>290</v>
      </c>
      <c r="C81" s="15"/>
      <c r="D81" s="15"/>
      <c r="E81" s="15"/>
      <c r="F81" s="97">
        <f t="shared" ref="F81:M81" si="19">F24/(F53+F48+F49-F58)</f>
        <v>0.33697370732564269</v>
      </c>
      <c r="G81" s="97">
        <f t="shared" si="19"/>
        <v>0.30689371051908815</v>
      </c>
      <c r="H81" s="97">
        <f t="shared" si="19"/>
        <v>0.2577715877437326</v>
      </c>
      <c r="I81" s="97">
        <f t="shared" si="19"/>
        <v>0.25630803603462199</v>
      </c>
      <c r="J81" s="97">
        <f t="shared" si="19"/>
        <v>0.25926275523445885</v>
      </c>
      <c r="K81" s="97">
        <f t="shared" si="19"/>
        <v>0.2521258832214629</v>
      </c>
      <c r="L81" s="97">
        <f t="shared" si="19"/>
        <v>0.2595089956862765</v>
      </c>
      <c r="M81" s="97">
        <f t="shared" si="19"/>
        <v>0.26552464514937912</v>
      </c>
    </row>
    <row r="82" spans="1:13" ht="16.8" outlineLevel="1">
      <c r="A82" s="182"/>
      <c r="B82" s="89" t="s">
        <v>291</v>
      </c>
      <c r="C82" s="15"/>
      <c r="D82" s="15"/>
      <c r="E82" s="15"/>
      <c r="F82" s="97">
        <f>F17*(1-F101)/(F69+(F62+Model!F364+Model!F371)-F47)</f>
        <v>0.13248468064369334</v>
      </c>
      <c r="G82" s="97">
        <f>G17*(1-G101)/(G69+(G62+Model!G364+Model!G371)-G47)</f>
        <v>0.11656412857303425</v>
      </c>
      <c r="H82" s="97">
        <f>H17*(1-H101)/(H69+(H62+Model!H364+Model!H371)-H47)</f>
        <v>0.10728796896353371</v>
      </c>
      <c r="I82" s="97">
        <f>I17*(1-I101)/(I69+(I62+Model!I364+Model!I371)-I47)</f>
        <v>0.10907625809401283</v>
      </c>
      <c r="J82" s="97">
        <f>J17*(1-J101)/(J69+(J62+Model!J364+Model!J371)-J47)</f>
        <v>0.1124385130895964</v>
      </c>
      <c r="K82" s="97">
        <f>K17*(1-K101)/(K69+(K62+Model!K364+Model!K371)-K47)</f>
        <v>0.11067381729082842</v>
      </c>
      <c r="L82" s="97">
        <f>L17*(1-L101)/(L69+(L62+Model!L364+Model!L371)-L47)</f>
        <v>0.1155830272112458</v>
      </c>
      <c r="M82" s="97">
        <f>M17*(1-M101)/(M69+(M62+Model!M364+Model!M371)-M47)</f>
        <v>0.11997637441010665</v>
      </c>
    </row>
    <row r="83" spans="1:13" ht="16.8" outlineLevel="1">
      <c r="A83" s="182"/>
      <c r="B83" s="89" t="s">
        <v>292</v>
      </c>
      <c r="C83" s="15"/>
      <c r="D83" s="15"/>
      <c r="E83" s="15"/>
      <c r="F83" s="97">
        <f t="shared" ref="F83:M83" si="20">F11/F9</f>
        <v>0.46087347752032654</v>
      </c>
      <c r="G83" s="97">
        <f t="shared" si="20"/>
        <v>0.46936327954644569</v>
      </c>
      <c r="H83" s="97">
        <f t="shared" si="20"/>
        <v>0.45826333648550927</v>
      </c>
      <c r="I83" s="97">
        <f t="shared" si="20"/>
        <v>0.46035610086813789</v>
      </c>
      <c r="J83" s="97">
        <f t="shared" si="20"/>
        <v>0.45842120832395067</v>
      </c>
      <c r="K83" s="97">
        <f t="shared" si="20"/>
        <v>0.45154072968183484</v>
      </c>
      <c r="L83" s="97">
        <f t="shared" si="20"/>
        <v>0.45247071140078787</v>
      </c>
      <c r="M83" s="97">
        <f t="shared" si="20"/>
        <v>0.45384055456804051</v>
      </c>
    </row>
    <row r="84" spans="1:13" ht="16.8" outlineLevel="1">
      <c r="A84" s="182"/>
      <c r="B84" s="89" t="s">
        <v>293</v>
      </c>
      <c r="C84" s="15"/>
      <c r="D84" s="15"/>
      <c r="E84" s="15"/>
      <c r="F84" s="97">
        <f>-(SUM(Model!F258:F262)+Model!F288)/F9</f>
        <v>0.26828850253344905</v>
      </c>
      <c r="G84" s="97">
        <f>-(SUM(Model!G258:G262)+Model!G288)/G9</f>
        <v>0.27076973397296117</v>
      </c>
      <c r="H84" s="97">
        <f>-(SUM(Model!H258:H262)+Model!H288)/H9</f>
        <v>0.27683150692551595</v>
      </c>
      <c r="I84" s="97">
        <f>-(SUM(Model!I258:I262)+Model!I288)/I9</f>
        <v>0.28210475651442346</v>
      </c>
      <c r="J84" s="97">
        <f>-(SUM(Model!J258:J262)+Model!J288)/J9</f>
        <v>0.27770224077112721</v>
      </c>
      <c r="K84" s="97">
        <f>-(SUM(Model!K258:K262)+Model!K288)/K9</f>
        <v>0.27312940805773328</v>
      </c>
      <c r="L84" s="97">
        <f>-(SUM(Model!L258:L262)+Model!L288)/L9</f>
        <v>0.27042684213123097</v>
      </c>
      <c r="M84" s="97">
        <f>-(SUM(Model!M258:M262)+Model!M288)/M9</f>
        <v>0.26905956268848119</v>
      </c>
    </row>
    <row r="85" spans="1:13" ht="16.8" outlineLevel="1">
      <c r="A85" s="182"/>
      <c r="B85" s="89" t="s">
        <v>294</v>
      </c>
      <c r="C85" s="15"/>
      <c r="D85" s="15"/>
      <c r="E85" s="15"/>
      <c r="F85" s="97">
        <f>-SUM(Model!F265:F266)/F9</f>
        <v>4.8955019228503179E-3</v>
      </c>
      <c r="G85" s="97">
        <f>-SUM(Model!G265:G266)/G9</f>
        <v>-9.9215002180549493E-4</v>
      </c>
      <c r="H85" s="97">
        <f>-SUM(Model!H265:H266)/H9</f>
        <v>4.4278800689770258E-3</v>
      </c>
      <c r="I85" s="97">
        <f>-SUM(Model!I265:I266)/I9</f>
        <v>2.9874526986656044E-3</v>
      </c>
      <c r="J85" s="97">
        <f>-SUM(Model!J265:J266)/J9</f>
        <v>2.688439709250224E-3</v>
      </c>
      <c r="K85" s="97">
        <f>-SUM(Model!K265:K266)/K9</f>
        <v>2.4892960270835405E-3</v>
      </c>
      <c r="L85" s="97">
        <f>-SUM(Model!L265:L266)/L9</f>
        <v>2.1903624054161689E-3</v>
      </c>
      <c r="M85" s="97">
        <f>-SUM(Model!M265:M266)/M9</f>
        <v>1.9910403185664509E-3</v>
      </c>
    </row>
    <row r="86" spans="1:13" ht="16.8" outlineLevel="1">
      <c r="A86" s="182"/>
      <c r="B86" s="89" t="s">
        <v>295</v>
      </c>
      <c r="C86" s="15"/>
      <c r="D86" s="15"/>
      <c r="E86" s="15"/>
      <c r="F86" s="97">
        <f t="shared" ref="F86:M86" si="21">F14/F9</f>
        <v>0.18768947306402717</v>
      </c>
      <c r="G86" s="97">
        <f t="shared" si="21"/>
        <v>0.19958569559529002</v>
      </c>
      <c r="H86" s="97">
        <f t="shared" si="21"/>
        <v>0.1770039494910163</v>
      </c>
      <c r="I86" s="97">
        <f t="shared" si="21"/>
        <v>0.1752638916550488</v>
      </c>
      <c r="J86" s="97">
        <f t="shared" si="21"/>
        <v>0.17803052784357318</v>
      </c>
      <c r="K86" s="97">
        <f t="shared" si="21"/>
        <v>0.175922025597018</v>
      </c>
      <c r="L86" s="97">
        <f t="shared" si="21"/>
        <v>0.17985350686414073</v>
      </c>
      <c r="M86" s="97">
        <f t="shared" si="21"/>
        <v>0.18278995156099287</v>
      </c>
    </row>
    <row r="87" spans="1:13" ht="16.8" outlineLevel="1">
      <c r="A87" s="182"/>
      <c r="B87" s="92" t="s">
        <v>296</v>
      </c>
      <c r="C87" s="15"/>
      <c r="D87" s="15"/>
      <c r="E87" s="15"/>
      <c r="F87" s="98">
        <f t="shared" ref="F87:M87" si="22">ROUND(F83-F84-F85-F86,6)</f>
        <v>0</v>
      </c>
      <c r="G87" s="98">
        <f t="shared" si="22"/>
        <v>0</v>
      </c>
      <c r="H87" s="98">
        <f t="shared" si="22"/>
        <v>0</v>
      </c>
      <c r="I87" s="98">
        <f t="shared" si="22"/>
        <v>0</v>
      </c>
      <c r="J87" s="98">
        <f t="shared" si="22"/>
        <v>0</v>
      </c>
      <c r="K87" s="98">
        <f t="shared" si="22"/>
        <v>0</v>
      </c>
      <c r="L87" s="98">
        <f t="shared" si="22"/>
        <v>0</v>
      </c>
      <c r="M87" s="98">
        <f t="shared" si="22"/>
        <v>0</v>
      </c>
    </row>
    <row r="88" spans="1:13" ht="16.8" outlineLevel="1">
      <c r="A88" s="182"/>
      <c r="B88" s="89"/>
      <c r="C88" s="15"/>
      <c r="D88" s="15"/>
      <c r="E88" s="15"/>
      <c r="F88" s="60"/>
      <c r="G88" s="60"/>
      <c r="H88" s="60"/>
      <c r="I88" s="60"/>
      <c r="J88" s="60"/>
      <c r="K88" s="60"/>
      <c r="L88" s="60"/>
      <c r="M88" s="60"/>
    </row>
    <row r="89" spans="1:13" ht="16.8" outlineLevel="1">
      <c r="A89" s="182"/>
      <c r="B89" s="89" t="s">
        <v>297</v>
      </c>
      <c r="C89" s="15"/>
      <c r="D89" s="15"/>
      <c r="E89" s="15"/>
      <c r="F89" s="97">
        <f t="shared" ref="F89:M89" si="23">-F16/F9</f>
        <v>3.7042988291501967E-2</v>
      </c>
      <c r="G89" s="97">
        <f t="shared" si="23"/>
        <v>3.9053641517662448E-2</v>
      </c>
      <c r="H89" s="97">
        <f t="shared" si="23"/>
        <v>4.0418312287923461E-2</v>
      </c>
      <c r="I89" s="97">
        <f t="shared" si="23"/>
        <v>3.8150172782529371E-2</v>
      </c>
      <c r="J89" s="97">
        <f t="shared" si="23"/>
        <v>3.8040067304149099E-2</v>
      </c>
      <c r="K89" s="97">
        <f t="shared" si="23"/>
        <v>3.823173900987601E-2</v>
      </c>
      <c r="L89" s="97">
        <f t="shared" si="23"/>
        <v>3.7816885467335415E-2</v>
      </c>
      <c r="M89" s="97">
        <f t="shared" si="23"/>
        <v>3.766019838668061E-2</v>
      </c>
    </row>
    <row r="90" spans="1:13" ht="16.8" outlineLevel="1">
      <c r="A90" s="182"/>
      <c r="B90" s="89" t="s">
        <v>298</v>
      </c>
      <c r="C90" s="15"/>
      <c r="D90" s="15"/>
      <c r="E90" s="15"/>
      <c r="F90" s="97">
        <f t="shared" ref="F90:M90" si="24">F17/F9</f>
        <v>0.15064648477252521</v>
      </c>
      <c r="G90" s="97">
        <f t="shared" si="24"/>
        <v>0.16053205407762755</v>
      </c>
      <c r="H90" s="97">
        <f t="shared" si="24"/>
        <v>0.13658563720309283</v>
      </c>
      <c r="I90" s="97">
        <f t="shared" si="24"/>
        <v>0.13711371887251941</v>
      </c>
      <c r="J90" s="97">
        <f t="shared" si="24"/>
        <v>0.1399904605394241</v>
      </c>
      <c r="K90" s="97">
        <f t="shared" si="24"/>
        <v>0.13769028658714197</v>
      </c>
      <c r="L90" s="97">
        <f t="shared" si="24"/>
        <v>0.14203662139680531</v>
      </c>
      <c r="M90" s="97">
        <f t="shared" si="24"/>
        <v>0.14512975317431226</v>
      </c>
    </row>
    <row r="91" spans="1:13" ht="16.8" outlineLevel="1">
      <c r="A91" s="182"/>
      <c r="B91" s="92" t="s">
        <v>296</v>
      </c>
      <c r="C91" s="15"/>
      <c r="D91" s="15"/>
      <c r="E91" s="15"/>
      <c r="F91" s="98">
        <f t="shared" ref="F91:M91" si="25">ROUND(F86-F89-F90,6)</f>
        <v>0</v>
      </c>
      <c r="G91" s="98">
        <f t="shared" si="25"/>
        <v>0</v>
      </c>
      <c r="H91" s="98">
        <f t="shared" si="25"/>
        <v>0</v>
      </c>
      <c r="I91" s="98">
        <f t="shared" si="25"/>
        <v>0</v>
      </c>
      <c r="J91" s="98">
        <f t="shared" si="25"/>
        <v>0</v>
      </c>
      <c r="K91" s="98">
        <f t="shared" si="25"/>
        <v>0</v>
      </c>
      <c r="L91" s="98">
        <f t="shared" si="25"/>
        <v>0</v>
      </c>
      <c r="M91" s="98">
        <f t="shared" si="25"/>
        <v>0</v>
      </c>
    </row>
    <row r="92" spans="1:13" ht="16.8" outlineLevel="1">
      <c r="A92" s="182"/>
      <c r="B92" s="89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</row>
    <row r="93" spans="1:13" ht="16.8" outlineLevel="1">
      <c r="A93" s="182"/>
      <c r="B93" s="89" t="s">
        <v>299</v>
      </c>
      <c r="C93" s="15"/>
      <c r="D93" s="15"/>
      <c r="E93" s="15"/>
      <c r="F93" s="97">
        <f t="shared" ref="F93:M93" si="26">-F19/F9</f>
        <v>1.4568670930145366E-2</v>
      </c>
      <c r="G93" s="97">
        <f t="shared" si="26"/>
        <v>1.6190580026166593E-2</v>
      </c>
      <c r="H93" s="97">
        <f t="shared" si="26"/>
        <v>1.6977248706680759E-2</v>
      </c>
      <c r="I93" s="97">
        <f t="shared" si="26"/>
        <v>1.6851628675839732E-2</v>
      </c>
      <c r="J93" s="97">
        <f t="shared" si="26"/>
        <v>1.6335489205420575E-2</v>
      </c>
      <c r="K93" s="97">
        <f t="shared" si="26"/>
        <v>1.5926564573923101E-2</v>
      </c>
      <c r="L93" s="97">
        <f t="shared" si="26"/>
        <v>1.5334616145348617E-2</v>
      </c>
      <c r="M93" s="97">
        <f t="shared" si="26"/>
        <v>1.4627939506593784E-2</v>
      </c>
    </row>
    <row r="94" spans="1:13" ht="16.8" outlineLevel="1">
      <c r="A94" s="182"/>
      <c r="B94" s="89" t="s">
        <v>300</v>
      </c>
      <c r="C94" s="15"/>
      <c r="D94" s="15"/>
      <c r="E94" s="15"/>
      <c r="F94" s="97">
        <f t="shared" ref="F94:M94" si="27">F20/F9</f>
        <v>0.13607781384237982</v>
      </c>
      <c r="G94" s="97">
        <f t="shared" si="27"/>
        <v>0.14434147405146097</v>
      </c>
      <c r="H94" s="97">
        <f t="shared" si="27"/>
        <v>0.11960838849641209</v>
      </c>
      <c r="I94" s="97">
        <f t="shared" si="27"/>
        <v>0.12026209019667969</v>
      </c>
      <c r="J94" s="97">
        <f t="shared" si="27"/>
        <v>0.12365497133400351</v>
      </c>
      <c r="K94" s="97">
        <f t="shared" si="27"/>
        <v>0.12176372201321888</v>
      </c>
      <c r="L94" s="97">
        <f t="shared" si="27"/>
        <v>0.1267020052514567</v>
      </c>
      <c r="M94" s="97">
        <f t="shared" si="27"/>
        <v>0.13050181366771849</v>
      </c>
    </row>
    <row r="95" spans="1:13" ht="16.8" outlineLevel="1">
      <c r="A95" s="182"/>
      <c r="B95" s="92" t="s">
        <v>296</v>
      </c>
      <c r="C95" s="15"/>
      <c r="D95" s="15"/>
      <c r="E95" s="15"/>
      <c r="F95" s="98">
        <f t="shared" ref="F95:M95" si="28">ROUND(F90-F93-F94,6)</f>
        <v>0</v>
      </c>
      <c r="G95" s="98">
        <f t="shared" si="28"/>
        <v>0</v>
      </c>
      <c r="H95" s="98">
        <f t="shared" si="28"/>
        <v>0</v>
      </c>
      <c r="I95" s="98">
        <f t="shared" si="28"/>
        <v>0</v>
      </c>
      <c r="J95" s="98">
        <f t="shared" si="28"/>
        <v>0</v>
      </c>
      <c r="K95" s="98">
        <f t="shared" si="28"/>
        <v>0</v>
      </c>
      <c r="L95" s="98">
        <f t="shared" si="28"/>
        <v>0</v>
      </c>
      <c r="M95" s="98">
        <f t="shared" si="28"/>
        <v>0</v>
      </c>
    </row>
    <row r="96" spans="1:13" ht="16.8" outlineLevel="1">
      <c r="A96" s="182"/>
      <c r="B96" s="89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</row>
    <row r="97" spans="1:13" ht="16.8" outlineLevel="1">
      <c r="A97" s="182"/>
      <c r="B97" s="89" t="s">
        <v>301</v>
      </c>
      <c r="C97" s="15"/>
      <c r="D97" s="15"/>
      <c r="E97" s="15"/>
      <c r="F97" s="97">
        <f t="shared" ref="F97:M97" si="29">-F22/F9</f>
        <v>2.4788165097320864E-2</v>
      </c>
      <c r="G97" s="97">
        <f t="shared" si="29"/>
        <v>3.6131705189707805E-2</v>
      </c>
      <c r="H97" s="97">
        <f t="shared" si="29"/>
        <v>2.9370862769093842E-2</v>
      </c>
      <c r="I97" s="97">
        <f t="shared" si="29"/>
        <v>2.8261591196219724E-2</v>
      </c>
      <c r="J97" s="97">
        <f t="shared" si="29"/>
        <v>2.9058918263490829E-2</v>
      </c>
      <c r="K97" s="97">
        <f t="shared" si="29"/>
        <v>2.8614474673106436E-2</v>
      </c>
      <c r="L97" s="97">
        <f t="shared" si="29"/>
        <v>2.977497123409233E-2</v>
      </c>
      <c r="M97" s="97">
        <f t="shared" si="29"/>
        <v>3.0667926211913839E-2</v>
      </c>
    </row>
    <row r="98" spans="1:13" ht="16.8" outlineLevel="1">
      <c r="A98" s="182"/>
      <c r="B98" s="89" t="s">
        <v>302</v>
      </c>
      <c r="C98" s="15"/>
      <c r="D98" s="15"/>
      <c r="E98" s="15"/>
      <c r="F98" s="97">
        <f t="shared" ref="F98:M98" si="30">F24/F9</f>
        <v>0.12328737774635515</v>
      </c>
      <c r="G98" s="97">
        <f t="shared" si="30"/>
        <v>0.12182730047972089</v>
      </c>
      <c r="H98" s="97">
        <f t="shared" si="30"/>
        <v>0.1029537742671191</v>
      </c>
      <c r="I98" s="97">
        <f t="shared" si="30"/>
        <v>0.10503584815186846</v>
      </c>
      <c r="J98" s="97">
        <f t="shared" si="30"/>
        <v>0.10795114001199257</v>
      </c>
      <c r="K98" s="97">
        <f t="shared" si="30"/>
        <v>0.10696943681189264</v>
      </c>
      <c r="L98" s="97">
        <f t="shared" si="30"/>
        <v>0.11115228321582672</v>
      </c>
      <c r="M98" s="97">
        <f t="shared" si="30"/>
        <v>0.11436212159835223</v>
      </c>
    </row>
    <row r="99" spans="1:13" ht="16.8" outlineLevel="1">
      <c r="A99" s="182"/>
      <c r="B99" s="92" t="s">
        <v>296</v>
      </c>
      <c r="C99" s="15"/>
      <c r="D99" s="15"/>
      <c r="E99" s="15"/>
      <c r="F99" s="98">
        <f t="shared" ref="F99:M99" si="31">ROUND(F94-F97+F23/F9-F98,6)</f>
        <v>0</v>
      </c>
      <c r="G99" s="98">
        <f t="shared" si="31"/>
        <v>0</v>
      </c>
      <c r="H99" s="98">
        <f t="shared" si="31"/>
        <v>0</v>
      </c>
      <c r="I99" s="98">
        <f t="shared" si="31"/>
        <v>0</v>
      </c>
      <c r="J99" s="98">
        <f t="shared" si="31"/>
        <v>0</v>
      </c>
      <c r="K99" s="98">
        <f t="shared" si="31"/>
        <v>0</v>
      </c>
      <c r="L99" s="98">
        <f t="shared" si="31"/>
        <v>0</v>
      </c>
      <c r="M99" s="98">
        <f t="shared" si="31"/>
        <v>0</v>
      </c>
    </row>
    <row r="100" spans="1:13" ht="16.8" outlineLevel="1">
      <c r="A100" s="182"/>
      <c r="B100" s="89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</row>
    <row r="101" spans="1:13" ht="16.8" outlineLevel="1">
      <c r="A101" s="182"/>
      <c r="B101" s="89" t="s">
        <v>303</v>
      </c>
      <c r="C101" s="15"/>
      <c r="D101" s="15"/>
      <c r="E101" s="15"/>
      <c r="F101" s="97">
        <f t="shared" ref="F101:M101" si="32">-F22/F20</f>
        <v>0.18216169408801069</v>
      </c>
      <c r="G101" s="97">
        <f t="shared" si="32"/>
        <v>0.25032102122516808</v>
      </c>
      <c r="H101" s="97">
        <f t="shared" si="32"/>
        <v>0.24555855269277277</v>
      </c>
      <c r="I101" s="97">
        <f t="shared" si="32"/>
        <v>0.23499999999999999</v>
      </c>
      <c r="J101" s="97">
        <f t="shared" si="32"/>
        <v>0.23500000000000004</v>
      </c>
      <c r="K101" s="97">
        <f t="shared" si="32"/>
        <v>0.23499999999999999</v>
      </c>
      <c r="L101" s="97">
        <f t="shared" si="32"/>
        <v>0.23500000000000004</v>
      </c>
      <c r="M101" s="97">
        <f t="shared" si="32"/>
        <v>0.23499999999999999</v>
      </c>
    </row>
    <row r="102" spans="1:13" ht="16.8" outlineLevel="1">
      <c r="A102" s="182"/>
      <c r="B102" s="89" t="s">
        <v>304</v>
      </c>
      <c r="C102" s="15"/>
      <c r="D102" s="15"/>
      <c r="E102" s="15"/>
      <c r="F102" s="97">
        <f t="shared" ref="F102:M102" si="33">F24/F20</f>
        <v>0.90600645516807055</v>
      </c>
      <c r="G102" s="97">
        <f t="shared" si="33"/>
        <v>0.84402145177128185</v>
      </c>
      <c r="H102" s="97">
        <f t="shared" si="33"/>
        <v>0.86075713887080274</v>
      </c>
      <c r="I102" s="97">
        <f t="shared" si="33"/>
        <v>0.87339117406067168</v>
      </c>
      <c r="J102" s="97">
        <f t="shared" si="33"/>
        <v>0.87300283075887475</v>
      </c>
      <c r="K102" s="97">
        <f t="shared" si="33"/>
        <v>0.87850005767957595</v>
      </c>
      <c r="L102" s="97">
        <f t="shared" si="33"/>
        <v>0.87727327594563698</v>
      </c>
      <c r="M102" s="97">
        <f t="shared" si="33"/>
        <v>0.87632591750440447</v>
      </c>
    </row>
    <row r="103" spans="1:13" ht="16.8" outlineLevel="1">
      <c r="A103" s="182"/>
      <c r="B103" s="89" t="s">
        <v>305</v>
      </c>
      <c r="C103" s="15"/>
      <c r="D103" s="15"/>
      <c r="E103" s="15"/>
      <c r="F103" s="97">
        <f>-Model!F270/(F62+Model!F364+Model!F371)</f>
        <v>2.9760503973497946E-2</v>
      </c>
      <c r="G103" s="97">
        <f>-Model!G270/(G62+Model!G364+Model!G371)</f>
        <v>2.8996224040276904E-2</v>
      </c>
      <c r="H103" s="97">
        <f>-Model!H270/(H62+Model!H364+Model!H371)</f>
        <v>3.1563299453778608E-2</v>
      </c>
      <c r="I103" s="97">
        <f>-Model!I270/(I62+Model!I364+Model!I371)</f>
        <v>2.9591836734693878E-2</v>
      </c>
      <c r="J103" s="97">
        <f>-Model!J270/(J62+Model!J364+Model!J371)</f>
        <v>2.9292929292929291E-2</v>
      </c>
      <c r="K103" s="97">
        <f>-Model!K270/(K62+Model!K364+Model!K371)</f>
        <v>2.9000000000000001E-2</v>
      </c>
      <c r="L103" s="97">
        <f>-Model!L270/(L62+Model!L364+Model!L371)</f>
        <v>2.8712871287128711E-2</v>
      </c>
      <c r="M103" s="97">
        <f>-Model!M270/(M62+Model!M364+Model!M371)</f>
        <v>2.8712871287128714E-2</v>
      </c>
    </row>
    <row r="104" spans="1:13" ht="16.8" outlineLevel="1">
      <c r="A104" s="182"/>
      <c r="B104" s="89" t="s">
        <v>306</v>
      </c>
      <c r="C104" s="15"/>
      <c r="D104" s="15"/>
      <c r="E104" s="15"/>
      <c r="F104" s="97">
        <f t="shared" ref="F104:M104" si="34">F20/F17</f>
        <v>0.90329232738391518</v>
      </c>
      <c r="G104" s="97">
        <f t="shared" si="34"/>
        <v>0.89914425427872857</v>
      </c>
      <c r="H104" s="97">
        <f t="shared" si="34"/>
        <v>0.87570253319214797</v>
      </c>
      <c r="I104" s="97">
        <f t="shared" si="34"/>
        <v>0.87709742821936421</v>
      </c>
      <c r="J104" s="97">
        <f t="shared" si="34"/>
        <v>0.88330998310545461</v>
      </c>
      <c r="K104" s="97">
        <f t="shared" si="34"/>
        <v>0.88433051474663438</v>
      </c>
      <c r="L104" s="97">
        <f t="shared" si="34"/>
        <v>0.89203758865462912</v>
      </c>
      <c r="M104" s="97">
        <f t="shared" si="34"/>
        <v>0.89920785237590484</v>
      </c>
    </row>
    <row r="105" spans="1:13" ht="16.8" outlineLevel="1">
      <c r="A105" s="182"/>
      <c r="B105" s="89"/>
      <c r="C105" s="15"/>
      <c r="D105" s="15"/>
      <c r="E105" s="15"/>
      <c r="F105" s="97"/>
      <c r="G105" s="97"/>
      <c r="H105" s="97"/>
      <c r="I105" s="97"/>
      <c r="J105" s="97"/>
      <c r="K105" s="97"/>
      <c r="L105" s="97"/>
      <c r="M105" s="97"/>
    </row>
    <row r="106" spans="1:13" ht="16.8" outlineLevel="1">
      <c r="A106" s="182"/>
      <c r="B106" s="96"/>
      <c r="C106" s="19"/>
      <c r="D106" s="19"/>
      <c r="E106" s="19"/>
      <c r="F106" s="99"/>
      <c r="G106" s="99"/>
      <c r="H106" s="99"/>
      <c r="I106" s="99"/>
      <c r="J106" s="99"/>
      <c r="K106" s="99"/>
      <c r="L106" s="99"/>
      <c r="M106" s="99"/>
    </row>
    <row r="107" spans="1:13" ht="16.8">
      <c r="A107" s="182"/>
      <c r="B107" s="9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</row>
    <row r="108" spans="1:13" ht="16.8">
      <c r="A108" s="182" t="s">
        <v>61</v>
      </c>
      <c r="B108" s="81" t="s">
        <v>307</v>
      </c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</row>
    <row r="109" spans="1:13" ht="16.8" outlineLevel="1">
      <c r="A109" s="182"/>
      <c r="B109" s="9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</row>
    <row r="110" spans="1:13" s="1" customFormat="1" ht="17.399999999999999" outlineLevel="1" thickBot="1">
      <c r="A110" s="183"/>
      <c r="B110" s="12" t="str">
        <f>Input!$B$131</f>
        <v>All figures in CHF millions unless stated</v>
      </c>
      <c r="C110" s="7"/>
      <c r="D110" s="7"/>
      <c r="E110" s="7"/>
      <c r="F110" s="13">
        <f>F$2</f>
        <v>2023</v>
      </c>
      <c r="G110" s="13">
        <f t="shared" ref="G110:M110" si="35">G$2</f>
        <v>2024</v>
      </c>
      <c r="H110" s="13">
        <f t="shared" si="35"/>
        <v>2025</v>
      </c>
      <c r="I110" s="14">
        <f t="shared" si="35"/>
        <v>2026</v>
      </c>
      <c r="J110" s="14">
        <f t="shared" si="35"/>
        <v>2027</v>
      </c>
      <c r="K110" s="14">
        <f t="shared" si="35"/>
        <v>2028</v>
      </c>
      <c r="L110" s="14">
        <f t="shared" si="35"/>
        <v>2029</v>
      </c>
      <c r="M110" s="14">
        <f t="shared" si="35"/>
        <v>2030</v>
      </c>
    </row>
    <row r="111" spans="1:13" s="1" customFormat="1" ht="17.399999999999999" outlineLevel="1" thickTop="1">
      <c r="A111" s="183"/>
      <c r="B111" s="12" t="str">
        <f>CONCATENATE("Model Running: ",INDEX(Input!$B$12:$B$14,Input!$D$6)," Drivers")</f>
        <v>Model Running: Base Case Drivers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s="1" customFormat="1" ht="16.8" outlineLevel="1">
      <c r="A112" s="183"/>
      <c r="B112" s="12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 ht="16.8" outlineLevel="1">
      <c r="A113" s="182"/>
      <c r="B113" s="89" t="s">
        <v>308</v>
      </c>
      <c r="C113" s="15"/>
      <c r="D113" s="15"/>
      <c r="E113" s="15"/>
      <c r="F113" s="100">
        <f t="shared" ref="F113:M113" si="36">F9/F56</f>
        <v>0.7376610035559068</v>
      </c>
      <c r="G113" s="100">
        <f t="shared" si="36"/>
        <v>0.6586052389705882</v>
      </c>
      <c r="H113" s="100">
        <f t="shared" si="36"/>
        <v>0.70691539980023754</v>
      </c>
      <c r="I113" s="100">
        <f t="shared" si="36"/>
        <v>0.71000558630953536</v>
      </c>
      <c r="J113" s="100">
        <f t="shared" si="36"/>
        <v>0.71161603952711194</v>
      </c>
      <c r="K113" s="100">
        <f t="shared" si="36"/>
        <v>0.704164571891433</v>
      </c>
      <c r="L113" s="100">
        <f t="shared" si="36"/>
        <v>0.70118549051438184</v>
      </c>
      <c r="M113" s="100">
        <f t="shared" si="36"/>
        <v>0.71174453334342624</v>
      </c>
    </row>
    <row r="114" spans="1:13" ht="16.8" outlineLevel="1">
      <c r="A114" s="182"/>
      <c r="B114" s="89" t="s">
        <v>309</v>
      </c>
      <c r="C114" s="15"/>
      <c r="D114" s="15"/>
      <c r="E114" s="15"/>
      <c r="F114" s="100">
        <f t="shared" ref="F114:M114" si="37">F9/F53</f>
        <v>3.0640036761085767</v>
      </c>
      <c r="G114" s="100">
        <f t="shared" si="37"/>
        <v>2.7211772384738624</v>
      </c>
      <c r="H114" s="100">
        <f t="shared" si="37"/>
        <v>2.7615287720052843</v>
      </c>
      <c r="I114" s="100">
        <f t="shared" si="37"/>
        <v>2.6542036414396466</v>
      </c>
      <c r="J114" s="100">
        <f t="shared" si="37"/>
        <v>2.5865430509606386</v>
      </c>
      <c r="K114" s="100">
        <f t="shared" si="37"/>
        <v>2.5000596564690465</v>
      </c>
      <c r="L114" s="100">
        <f t="shared" si="37"/>
        <v>2.4584629445703841</v>
      </c>
      <c r="M114" s="100">
        <f t="shared" si="37"/>
        <v>2.4365397967039661</v>
      </c>
    </row>
    <row r="115" spans="1:13" ht="16.8" outlineLevel="1">
      <c r="A115" s="182"/>
      <c r="B115" s="89" t="s">
        <v>310</v>
      </c>
      <c r="C115" s="15"/>
      <c r="D115" s="15"/>
      <c r="E115" s="15"/>
      <c r="F115" s="100">
        <f t="shared" ref="F115:M115" si="38">F9/F47</f>
        <v>19.383513289036546</v>
      </c>
      <c r="G115" s="100">
        <f t="shared" si="38"/>
        <v>16.508279337652986</v>
      </c>
      <c r="H115" s="100">
        <f t="shared" si="38"/>
        <v>19.629831841013321</v>
      </c>
      <c r="I115" s="100">
        <f t="shared" si="38"/>
        <v>21.451150501298574</v>
      </c>
      <c r="J115" s="100">
        <f t="shared" si="38"/>
        <v>19.2595863053022</v>
      </c>
      <c r="K115" s="100">
        <f t="shared" si="38"/>
        <v>15.870037668436707</v>
      </c>
      <c r="L115" s="100">
        <f t="shared" si="38"/>
        <v>12.41908366522658</v>
      </c>
      <c r="M115" s="100">
        <f t="shared" si="38"/>
        <v>13.050517220713516</v>
      </c>
    </row>
    <row r="116" spans="1:13" ht="16.8" outlineLevel="1">
      <c r="A116" s="182"/>
      <c r="B116" s="89" t="s">
        <v>311</v>
      </c>
      <c r="C116" s="15"/>
      <c r="D116" s="15"/>
      <c r="E116" s="15"/>
      <c r="F116" s="101">
        <f t="shared" ref="F116:M116" si="39">F47*365/F9</f>
        <v>18.83043566753436</v>
      </c>
      <c r="G116" s="101">
        <f t="shared" si="39"/>
        <v>22.110117749672916</v>
      </c>
      <c r="H116" s="101">
        <f t="shared" si="39"/>
        <v>18.594148078099796</v>
      </c>
      <c r="I116" s="101">
        <f t="shared" si="39"/>
        <v>17.015404370870652</v>
      </c>
      <c r="J116" s="101">
        <f t="shared" si="39"/>
        <v>18.951601255293568</v>
      </c>
      <c r="K116" s="101">
        <f t="shared" si="39"/>
        <v>22.9993152899652</v>
      </c>
      <c r="L116" s="101">
        <f t="shared" si="39"/>
        <v>29.390252118358745</v>
      </c>
      <c r="M116" s="101">
        <f t="shared" si="39"/>
        <v>27.968240172173363</v>
      </c>
    </row>
    <row r="117" spans="1:13" ht="16.8" outlineLevel="1">
      <c r="A117" s="182"/>
      <c r="B117" s="89" t="s">
        <v>312</v>
      </c>
      <c r="C117" s="15"/>
      <c r="D117" s="15"/>
      <c r="E117" s="15"/>
      <c r="F117" s="100">
        <f t="shared" ref="F117:M117" si="40">F9/F48</f>
        <v>8.4903137789904495</v>
      </c>
      <c r="G117" s="100">
        <f t="shared" si="40"/>
        <v>8.1521642520664823</v>
      </c>
      <c r="H117" s="100">
        <f t="shared" si="40"/>
        <v>8.5110311523529969</v>
      </c>
      <c r="I117" s="100">
        <f t="shared" si="40"/>
        <v>8.5240232558139546</v>
      </c>
      <c r="J117" s="100">
        <f t="shared" si="40"/>
        <v>8.5248720930232551</v>
      </c>
      <c r="K117" s="100">
        <f t="shared" si="40"/>
        <v>8.6251647058823533</v>
      </c>
      <c r="L117" s="100">
        <f t="shared" si="40"/>
        <v>8.7287142857142843</v>
      </c>
      <c r="M117" s="100">
        <f t="shared" si="40"/>
        <v>8.7295833333333324</v>
      </c>
    </row>
    <row r="118" spans="1:13" ht="16.8" outlineLevel="1">
      <c r="A118" s="182"/>
      <c r="B118" s="89" t="s">
        <v>313</v>
      </c>
      <c r="C118" s="15"/>
      <c r="D118" s="15"/>
      <c r="E118" s="15"/>
      <c r="F118" s="101">
        <f t="shared" ref="F118:M118" si="41">F48*365/F9</f>
        <v>42.990166147122153</v>
      </c>
      <c r="G118" s="101">
        <f t="shared" si="41"/>
        <v>44.773386393371126</v>
      </c>
      <c r="H118" s="101">
        <f t="shared" si="41"/>
        <v>42.885520387161371</v>
      </c>
      <c r="I118" s="101">
        <f t="shared" si="41"/>
        <v>42.820155347540329</v>
      </c>
      <c r="J118" s="101">
        <f t="shared" si="41"/>
        <v>42.815891665836908</v>
      </c>
      <c r="K118" s="101">
        <f t="shared" si="41"/>
        <v>42.318032460420191</v>
      </c>
      <c r="L118" s="101">
        <f t="shared" si="41"/>
        <v>41.816009557945044</v>
      </c>
      <c r="M118" s="101">
        <f t="shared" si="41"/>
        <v>41.811846689895468</v>
      </c>
    </row>
    <row r="119" spans="1:13" ht="16.8" outlineLevel="1">
      <c r="A119" s="182"/>
      <c r="B119" s="89" t="s">
        <v>314</v>
      </c>
      <c r="C119" s="15"/>
      <c r="D119" s="15"/>
      <c r="E119" s="15"/>
      <c r="F119" s="100">
        <f t="shared" ref="F119:M119" si="42">-F10/F49</f>
        <v>4.2306657700067252</v>
      </c>
      <c r="G119" s="100">
        <f t="shared" si="42"/>
        <v>3.6704374057315232</v>
      </c>
      <c r="H119" s="100">
        <f t="shared" si="42"/>
        <v>3.8003590103800828</v>
      </c>
      <c r="I119" s="100">
        <f t="shared" si="42"/>
        <v>3.9247311827956985</v>
      </c>
      <c r="J119" s="100">
        <f t="shared" si="42"/>
        <v>4.0109890109890109</v>
      </c>
      <c r="K119" s="100">
        <f t="shared" si="42"/>
        <v>4.1011235955056184</v>
      </c>
      <c r="L119" s="100">
        <f t="shared" si="42"/>
        <v>4.1477272727272725</v>
      </c>
      <c r="M119" s="100">
        <f t="shared" si="42"/>
        <v>4.195402298850575</v>
      </c>
    </row>
    <row r="120" spans="1:13" ht="16.8" outlineLevel="1">
      <c r="A120" s="182"/>
      <c r="B120" s="89" t="s">
        <v>315</v>
      </c>
      <c r="C120" s="15"/>
      <c r="D120" s="15"/>
      <c r="E120" s="15"/>
      <c r="F120" s="101">
        <f t="shared" ref="F120:M120" si="43">-F49*365/F10</f>
        <v>86.274837068828489</v>
      </c>
      <c r="G120" s="101">
        <f t="shared" si="43"/>
        <v>99.443188822683382</v>
      </c>
      <c r="H120" s="101">
        <f t="shared" si="43"/>
        <v>96.043557727851478</v>
      </c>
      <c r="I120" s="101">
        <f t="shared" si="43"/>
        <v>93</v>
      </c>
      <c r="J120" s="101">
        <f t="shared" si="43"/>
        <v>91.000000000000014</v>
      </c>
      <c r="K120" s="101">
        <f t="shared" si="43"/>
        <v>89</v>
      </c>
      <c r="L120" s="101">
        <f t="shared" si="43"/>
        <v>88</v>
      </c>
      <c r="M120" s="101">
        <f t="shared" si="43"/>
        <v>86.999999999999986</v>
      </c>
    </row>
    <row r="121" spans="1:13" ht="16.8" outlineLevel="1">
      <c r="A121" s="182"/>
      <c r="B121" s="89" t="s">
        <v>316</v>
      </c>
      <c r="C121" s="15"/>
      <c r="D121" s="15"/>
      <c r="E121" s="15"/>
      <c r="F121" s="100">
        <f t="shared" ref="F121:M121" si="44">-F10/F58</f>
        <v>2.6207040199958342</v>
      </c>
      <c r="G121" s="100">
        <f t="shared" si="44"/>
        <v>2.2318521575640848</v>
      </c>
      <c r="H121" s="100">
        <f t="shared" si="44"/>
        <v>2.4319033111921291</v>
      </c>
      <c r="I121" s="100">
        <f t="shared" si="44"/>
        <v>2.4333333333333331</v>
      </c>
      <c r="J121" s="100">
        <f t="shared" si="44"/>
        <v>2.4333333333333331</v>
      </c>
      <c r="K121" s="100">
        <f t="shared" si="44"/>
        <v>2.4333333333333331</v>
      </c>
      <c r="L121" s="100">
        <f t="shared" si="44"/>
        <v>2.4333333333333331</v>
      </c>
      <c r="M121" s="100">
        <f t="shared" si="44"/>
        <v>2.4333333333333331</v>
      </c>
    </row>
    <row r="122" spans="1:13" ht="16.8" outlineLevel="1">
      <c r="A122" s="182"/>
      <c r="B122" s="89" t="s">
        <v>317</v>
      </c>
      <c r="C122" s="15"/>
      <c r="D122" s="15"/>
      <c r="E122" s="15"/>
      <c r="F122" s="101">
        <f t="shared" ref="F122:M122" si="45">-F58*365/F10</f>
        <v>139.27555237641076</v>
      </c>
      <c r="G122" s="101">
        <f t="shared" si="45"/>
        <v>163.5412985411958</v>
      </c>
      <c r="H122" s="101">
        <f t="shared" si="45"/>
        <v>150.08820388548898</v>
      </c>
      <c r="I122" s="101">
        <f t="shared" si="45"/>
        <v>150</v>
      </c>
      <c r="J122" s="101">
        <f t="shared" si="45"/>
        <v>150</v>
      </c>
      <c r="K122" s="101">
        <f t="shared" si="45"/>
        <v>150</v>
      </c>
      <c r="L122" s="101">
        <f t="shared" si="45"/>
        <v>150</v>
      </c>
      <c r="M122" s="101">
        <f t="shared" si="45"/>
        <v>150</v>
      </c>
    </row>
    <row r="123" spans="1:13" ht="16.8" outlineLevel="1">
      <c r="A123" s="182"/>
      <c r="B123" s="89" t="s">
        <v>318</v>
      </c>
      <c r="C123" s="15"/>
      <c r="D123" s="15"/>
      <c r="E123" s="15"/>
      <c r="F123" s="101">
        <f t="shared" ref="F123:M123" si="46">F118+F120-F122</f>
        <v>-10.01054916046013</v>
      </c>
      <c r="G123" s="101">
        <f t="shared" si="46"/>
        <v>-19.324723325141292</v>
      </c>
      <c r="H123" s="101">
        <f t="shared" si="46"/>
        <v>-11.159125770476123</v>
      </c>
      <c r="I123" s="101">
        <f t="shared" si="46"/>
        <v>-14.179844652459678</v>
      </c>
      <c r="J123" s="101">
        <f t="shared" si="46"/>
        <v>-16.184108334163085</v>
      </c>
      <c r="K123" s="101">
        <f t="shared" si="46"/>
        <v>-18.681967539579801</v>
      </c>
      <c r="L123" s="101">
        <f t="shared" si="46"/>
        <v>-20.183990442054949</v>
      </c>
      <c r="M123" s="101">
        <f t="shared" si="46"/>
        <v>-21.188153310104553</v>
      </c>
    </row>
    <row r="124" spans="1:13" ht="16.8" outlineLevel="1">
      <c r="A124" s="182"/>
      <c r="B124" s="89"/>
      <c r="C124" s="15"/>
      <c r="D124" s="15"/>
      <c r="E124" s="15"/>
      <c r="F124" s="97"/>
      <c r="G124" s="97"/>
      <c r="H124" s="97"/>
      <c r="I124" s="97"/>
      <c r="J124" s="97"/>
      <c r="K124" s="97"/>
      <c r="L124" s="97"/>
      <c r="M124" s="97"/>
    </row>
    <row r="125" spans="1:13" ht="16.8" outlineLevel="1">
      <c r="A125" s="182"/>
      <c r="B125" s="96"/>
      <c r="C125" s="19"/>
      <c r="D125" s="19"/>
      <c r="E125" s="19"/>
      <c r="F125" s="99"/>
      <c r="G125" s="99"/>
      <c r="H125" s="99"/>
      <c r="I125" s="99"/>
      <c r="J125" s="99"/>
      <c r="K125" s="99"/>
      <c r="L125" s="99"/>
      <c r="M125" s="99"/>
    </row>
    <row r="126" spans="1:13" ht="16.8">
      <c r="A126" s="182"/>
      <c r="B126" s="9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</row>
    <row r="127" spans="1:13" ht="16.8">
      <c r="A127" s="182" t="s">
        <v>61</v>
      </c>
      <c r="B127" s="81" t="s">
        <v>319</v>
      </c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</row>
    <row r="128" spans="1:13" ht="16.8" outlineLevel="1">
      <c r="A128" s="182"/>
      <c r="B128" s="9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</row>
    <row r="129" spans="1:13" s="1" customFormat="1" ht="17.399999999999999" outlineLevel="1" thickBot="1">
      <c r="A129" s="183"/>
      <c r="B129" s="12" t="str">
        <f>Input!$B$131</f>
        <v>All figures in CHF millions unless stated</v>
      </c>
      <c r="C129" s="7"/>
      <c r="D129" s="7"/>
      <c r="E129" s="7"/>
      <c r="F129" s="13">
        <f>F$2</f>
        <v>2023</v>
      </c>
      <c r="G129" s="13">
        <f t="shared" ref="G129:M129" si="47">G$2</f>
        <v>2024</v>
      </c>
      <c r="H129" s="13">
        <f t="shared" si="47"/>
        <v>2025</v>
      </c>
      <c r="I129" s="14">
        <f t="shared" si="47"/>
        <v>2026</v>
      </c>
      <c r="J129" s="14">
        <f t="shared" si="47"/>
        <v>2027</v>
      </c>
      <c r="K129" s="14">
        <f t="shared" si="47"/>
        <v>2028</v>
      </c>
      <c r="L129" s="14">
        <f t="shared" si="47"/>
        <v>2029</v>
      </c>
      <c r="M129" s="14">
        <f t="shared" si="47"/>
        <v>2030</v>
      </c>
    </row>
    <row r="130" spans="1:13" s="1" customFormat="1" ht="17.399999999999999" outlineLevel="1" thickTop="1">
      <c r="A130" s="183"/>
      <c r="B130" s="12" t="str">
        <f>CONCATENATE("Model Running: ",INDEX(Input!$B$12:$B$14,Input!$D$6)," Drivers")</f>
        <v>Model Running: Base Case Drivers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</row>
    <row r="131" spans="1:13" s="1" customFormat="1" ht="16.8" outlineLevel="1">
      <c r="A131" s="183"/>
      <c r="B131" s="12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6.8" outlineLevel="1">
      <c r="A132" s="182"/>
      <c r="B132" s="89" t="s">
        <v>320</v>
      </c>
      <c r="C132" s="15"/>
      <c r="D132" s="15"/>
      <c r="E132" s="15"/>
      <c r="F132" s="100">
        <f t="shared" ref="F132:M132" si="48">F56/F69</f>
        <v>3.4778904553824166</v>
      </c>
      <c r="G132" s="100">
        <f t="shared" si="48"/>
        <v>3.7953833156187828</v>
      </c>
      <c r="H132" s="100">
        <f t="shared" si="48"/>
        <v>3.8463004416480127</v>
      </c>
      <c r="I132" s="100">
        <f t="shared" si="48"/>
        <v>3.7014419647198831</v>
      </c>
      <c r="J132" s="100">
        <f t="shared" si="48"/>
        <v>3.5834102238658976</v>
      </c>
      <c r="K132" s="100">
        <f t="shared" si="48"/>
        <v>3.5014770067902554</v>
      </c>
      <c r="L132" s="100">
        <f t="shared" si="48"/>
        <v>3.416246809164162</v>
      </c>
      <c r="M132" s="100">
        <f t="shared" si="48"/>
        <v>3.4311359984080223</v>
      </c>
    </row>
    <row r="133" spans="1:13" ht="16.8" outlineLevel="1">
      <c r="A133" s="182"/>
      <c r="B133" s="89" t="s">
        <v>321</v>
      </c>
      <c r="C133" s="15"/>
      <c r="D133" s="15"/>
      <c r="E133" s="15"/>
      <c r="F133" s="100">
        <f t="shared" ref="F133:M133" si="49">F65/F69</f>
        <v>2.4778904553824166</v>
      </c>
      <c r="G133" s="100">
        <f t="shared" si="49"/>
        <v>2.7953833156187828</v>
      </c>
      <c r="H133" s="100">
        <f t="shared" si="49"/>
        <v>2.8463004416480127</v>
      </c>
      <c r="I133" s="100">
        <f t="shared" si="49"/>
        <v>2.7014419647198831</v>
      </c>
      <c r="J133" s="100">
        <f t="shared" si="49"/>
        <v>2.5834102238658967</v>
      </c>
      <c r="K133" s="100">
        <f t="shared" si="49"/>
        <v>2.501477006790255</v>
      </c>
      <c r="L133" s="100">
        <f t="shared" si="49"/>
        <v>2.4162468091641616</v>
      </c>
      <c r="M133" s="100">
        <f t="shared" si="49"/>
        <v>2.4311359984080214</v>
      </c>
    </row>
    <row r="134" spans="1:13" ht="16.8" outlineLevel="1">
      <c r="A134" s="182"/>
      <c r="B134" s="89" t="s">
        <v>322</v>
      </c>
      <c r="C134" s="15"/>
      <c r="D134" s="15"/>
      <c r="E134" s="15"/>
      <c r="F134" s="100">
        <f>(F62+Model!F364+Model!F371)/F69</f>
        <v>1.51815208728392</v>
      </c>
      <c r="G134" s="100">
        <f>(G62+Model!G364+Model!G371)/G69</f>
        <v>1.7322105033657647</v>
      </c>
      <c r="H134" s="100">
        <f>(H62+Model!H364+Model!H371)/H69</f>
        <v>1.7500151249319378</v>
      </c>
      <c r="I134" s="100">
        <f>(I62+Model!I364+Model!I371)/I69</f>
        <v>1.6497433123819238</v>
      </c>
      <c r="J134" s="100">
        <f>(J62+Model!J364+Model!J371)/J69</f>
        <v>1.5611758690959439</v>
      </c>
      <c r="K134" s="100">
        <f>(K62+Model!K364+Model!K371)/K69</f>
        <v>1.5019966396337692</v>
      </c>
      <c r="L134" s="100">
        <f>(L62+Model!L364+Model!L371)/L69</f>
        <v>1.4447863562899295</v>
      </c>
      <c r="M134" s="100">
        <f>(M62+Model!M364+Model!M371)/M69</f>
        <v>1.4470001180204557</v>
      </c>
    </row>
    <row r="135" spans="1:13" ht="16.8" outlineLevel="1">
      <c r="A135" s="182"/>
      <c r="B135" s="89" t="s">
        <v>323</v>
      </c>
      <c r="C135" s="15"/>
      <c r="D135" s="15"/>
      <c r="E135" s="15"/>
      <c r="F135" s="100">
        <f>(F62+Model!F364+Model!F371)/F14</f>
        <v>3.1528451572398835</v>
      </c>
      <c r="G135" s="100">
        <f>(G62+Model!G364+Model!G371)/G14</f>
        <v>3.4720856549765102</v>
      </c>
      <c r="H135" s="100">
        <f>(H62+Model!H364+Model!H371)/H14</f>
        <v>3.636203645505971</v>
      </c>
      <c r="I135" s="100">
        <f>(I62+Model!I364+Model!I371)/I14</f>
        <v>3.5817165657404622</v>
      </c>
      <c r="J135" s="100">
        <f>(J62+Model!J364+Model!J371)/J14</f>
        <v>3.4388647351999584</v>
      </c>
      <c r="K135" s="100">
        <f>(K62+Model!K364+Model!K371)/K14</f>
        <v>3.4627671937523727</v>
      </c>
      <c r="L135" s="100">
        <f>(L62+Model!L364+Model!L371)/L14</f>
        <v>3.3535328249930765</v>
      </c>
      <c r="M135" s="100">
        <f>(M62+Model!M364+Model!M371)/M14</f>
        <v>3.2415608333250514</v>
      </c>
    </row>
    <row r="136" spans="1:13" ht="16.8" outlineLevel="1">
      <c r="A136" s="182"/>
      <c r="B136" s="89" t="s">
        <v>324</v>
      </c>
      <c r="C136" s="15"/>
      <c r="D136" s="15"/>
      <c r="E136" s="15"/>
      <c r="F136" s="100">
        <f>((F62+Model!F364+Model!F371)-F47)/F14</f>
        <v>2.8779750014268592</v>
      </c>
      <c r="G136" s="100">
        <f>((G62+Model!G364+Model!G371)-G47)/G14</f>
        <v>3.1685786081066318</v>
      </c>
      <c r="H136" s="100">
        <f>((H62+Model!H364+Model!H371)-H47)/H14</f>
        <v>3.348397234443746</v>
      </c>
      <c r="I136" s="100">
        <f>((I62+Model!I364+Model!I371)-I47)/I14</f>
        <v>3.3157316798558369</v>
      </c>
      <c r="J136" s="100">
        <f>((J62+Model!J364+Model!J371)-J47)/J14</f>
        <v>3.1472170282089196</v>
      </c>
      <c r="K136" s="100">
        <f>((K62+Model!K364+Model!K371)-K47)/K14</f>
        <v>3.1045867868454304</v>
      </c>
      <c r="L136" s="100">
        <f>((L62+Model!L364+Model!L371)-L47)/L14</f>
        <v>2.9058282453917474</v>
      </c>
      <c r="M136" s="100">
        <f>((M62+Model!M364+Model!M371)-M47)/M14</f>
        <v>2.8223621033848398</v>
      </c>
    </row>
    <row r="137" spans="1:13" ht="16.8" outlineLevel="1">
      <c r="A137" s="182"/>
      <c r="B137" s="89"/>
      <c r="C137" s="15"/>
      <c r="D137" s="15"/>
      <c r="E137" s="15"/>
      <c r="F137" s="97"/>
      <c r="G137" s="97"/>
      <c r="H137" s="97"/>
      <c r="I137" s="97"/>
      <c r="J137" s="97"/>
      <c r="K137" s="97"/>
      <c r="L137" s="97"/>
      <c r="M137" s="97"/>
    </row>
    <row r="138" spans="1:13" ht="16.8" outlineLevel="1">
      <c r="A138" s="182"/>
      <c r="B138" s="96"/>
      <c r="C138" s="19"/>
      <c r="D138" s="19"/>
      <c r="E138" s="19"/>
      <c r="F138" s="99"/>
      <c r="G138" s="99"/>
      <c r="H138" s="99"/>
      <c r="I138" s="99"/>
      <c r="J138" s="99"/>
      <c r="K138" s="99"/>
      <c r="L138" s="99"/>
      <c r="M138" s="99"/>
    </row>
    <row r="139" spans="1:13" ht="16.8">
      <c r="A139" s="182"/>
      <c r="B139" s="9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</row>
    <row r="140" spans="1:13" ht="16.8">
      <c r="A140" s="182" t="s">
        <v>61</v>
      </c>
      <c r="B140" s="81" t="s">
        <v>325</v>
      </c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</row>
    <row r="141" spans="1:13" ht="16.8" outlineLevel="1">
      <c r="A141" s="182"/>
      <c r="B141" s="9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</row>
    <row r="142" spans="1:13" s="1" customFormat="1" ht="17.399999999999999" outlineLevel="1" thickBot="1">
      <c r="A142" s="183"/>
      <c r="B142" s="12" t="str">
        <f>Input!$B$131</f>
        <v>All figures in CHF millions unless stated</v>
      </c>
      <c r="C142" s="7"/>
      <c r="D142" s="7"/>
      <c r="E142" s="7"/>
      <c r="F142" s="13">
        <f>F$2</f>
        <v>2023</v>
      </c>
      <c r="G142" s="13">
        <f t="shared" ref="G142:M142" si="50">G$2</f>
        <v>2024</v>
      </c>
      <c r="H142" s="13">
        <f t="shared" si="50"/>
        <v>2025</v>
      </c>
      <c r="I142" s="14">
        <f t="shared" si="50"/>
        <v>2026</v>
      </c>
      <c r="J142" s="14">
        <f t="shared" si="50"/>
        <v>2027</v>
      </c>
      <c r="K142" s="14">
        <f t="shared" si="50"/>
        <v>2028</v>
      </c>
      <c r="L142" s="14">
        <f t="shared" si="50"/>
        <v>2029</v>
      </c>
      <c r="M142" s="14">
        <f t="shared" si="50"/>
        <v>2030</v>
      </c>
    </row>
    <row r="143" spans="1:13" s="1" customFormat="1" ht="17.399999999999999" outlineLevel="1" thickTop="1">
      <c r="A143" s="183"/>
      <c r="B143" s="12" t="str">
        <f>CONCATENATE("Model Running: ",INDEX(Input!$B$12:$B$14,Input!$D$6)," Drivers")</f>
        <v>Model Running: Base Case Drivers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</row>
    <row r="144" spans="1:13" s="1" customFormat="1" ht="16.8" outlineLevel="1">
      <c r="A144" s="183"/>
      <c r="B144" s="12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6.8" outlineLevel="1">
      <c r="A145" s="182"/>
      <c r="B145" s="89" t="s">
        <v>326</v>
      </c>
      <c r="C145" s="15"/>
      <c r="D145" s="15"/>
      <c r="E145" s="15"/>
      <c r="F145" s="100">
        <f t="shared" ref="F145:M145" si="51">F51/F60</f>
        <v>0.83208391759249267</v>
      </c>
      <c r="G145" s="100">
        <f t="shared" si="51"/>
        <v>0.82094113804446722</v>
      </c>
      <c r="H145" s="100">
        <f t="shared" si="51"/>
        <v>0.7855949279992136</v>
      </c>
      <c r="I145" s="100">
        <f t="shared" si="51"/>
        <v>0.77746373470439023</v>
      </c>
      <c r="J145" s="100">
        <f t="shared" si="51"/>
        <v>0.78721171852792482</v>
      </c>
      <c r="K145" s="100">
        <f t="shared" si="51"/>
        <v>0.80080743391251952</v>
      </c>
      <c r="L145" s="100">
        <f t="shared" si="51"/>
        <v>0.83322071545244825</v>
      </c>
      <c r="M145" s="100">
        <f t="shared" si="51"/>
        <v>0.82515934114708134</v>
      </c>
    </row>
    <row r="146" spans="1:13" ht="16.8" outlineLevel="1">
      <c r="A146" s="182"/>
      <c r="B146" s="89" t="s">
        <v>327</v>
      </c>
      <c r="C146" s="15"/>
      <c r="D146" s="15"/>
      <c r="E146" s="15"/>
      <c r="F146" s="100">
        <f t="shared" ref="F146:M146" si="52">(F51-F49)/F60</f>
        <v>0.51129867328227807</v>
      </c>
      <c r="G146" s="100">
        <f t="shared" si="52"/>
        <v>0.51158341693301912</v>
      </c>
      <c r="H146" s="100">
        <f t="shared" si="52"/>
        <v>0.47073278616012187</v>
      </c>
      <c r="I146" s="100">
        <f t="shared" si="52"/>
        <v>0.46854964035726981</v>
      </c>
      <c r="J146" s="100">
        <f t="shared" si="52"/>
        <v>0.48202494207072916</v>
      </c>
      <c r="K146" s="100">
        <f t="shared" si="52"/>
        <v>0.50042554837063313</v>
      </c>
      <c r="L146" s="100">
        <f t="shared" si="52"/>
        <v>0.53609224474415529</v>
      </c>
      <c r="M146" s="100">
        <f t="shared" si="52"/>
        <v>0.52957696729331671</v>
      </c>
    </row>
    <row r="147" spans="1:13" ht="16.8" outlineLevel="1">
      <c r="A147" s="182"/>
      <c r="B147" s="89" t="s">
        <v>328</v>
      </c>
      <c r="C147" s="15"/>
      <c r="D147" s="15"/>
      <c r="E147" s="15"/>
      <c r="F147" s="100">
        <f>F14/(-Model!F270)</f>
        <v>10.657542579075425</v>
      </c>
      <c r="G147" s="100">
        <f>G14/(-Model!G270)</f>
        <v>9.9327183939229524</v>
      </c>
      <c r="H147" s="100">
        <f>H14/(-Model!H270)</f>
        <v>8.7130339539978099</v>
      </c>
      <c r="I147" s="100">
        <f>I14/(-Model!I270)</f>
        <v>9.4348904576958557</v>
      </c>
      <c r="J147" s="100">
        <f>J14/(-Model!J270)</f>
        <v>9.9270932889710632</v>
      </c>
      <c r="K147" s="100">
        <f>K14/(-Model!K270)</f>
        <v>9.9581510079292848</v>
      </c>
      <c r="L147" s="100">
        <f>L14/(-Model!L270)</f>
        <v>10.385342271688799</v>
      </c>
      <c r="M147" s="100">
        <f>M14/(-Model!M270)</f>
        <v>10.744079163608333</v>
      </c>
    </row>
    <row r="148" spans="1:13" ht="16.8" outlineLevel="1">
      <c r="A148" s="182"/>
      <c r="B148" s="89"/>
      <c r="C148" s="15"/>
      <c r="D148" s="15"/>
      <c r="E148" s="15"/>
      <c r="F148" s="97"/>
      <c r="G148" s="97"/>
      <c r="H148" s="97"/>
      <c r="I148" s="97"/>
      <c r="J148" s="97"/>
      <c r="K148" s="97"/>
      <c r="L148" s="97"/>
      <c r="M148" s="97"/>
    </row>
    <row r="149" spans="1:13" ht="16.8" outlineLevel="1">
      <c r="A149" s="182"/>
      <c r="B149" s="96"/>
      <c r="C149" s="19"/>
      <c r="D149" s="19"/>
      <c r="E149" s="19"/>
      <c r="F149" s="99"/>
      <c r="G149" s="99"/>
      <c r="H149" s="99"/>
      <c r="I149" s="99"/>
      <c r="J149" s="99"/>
      <c r="K149" s="99"/>
      <c r="L149" s="99"/>
      <c r="M149" s="99"/>
    </row>
    <row r="150" spans="1:13" ht="16.8">
      <c r="A150" s="182"/>
      <c r="B150" s="9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</row>
    <row r="151" spans="1:13" ht="16.8">
      <c r="A151" s="182" t="s">
        <v>61</v>
      </c>
      <c r="B151" s="81" t="s">
        <v>329</v>
      </c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</row>
    <row r="152" spans="1:13" ht="16.8" outlineLevel="1">
      <c r="A152" s="182"/>
      <c r="B152" s="9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s="1" customFormat="1" ht="17.399999999999999" outlineLevel="1" thickBot="1">
      <c r="A153" s="183"/>
      <c r="B153" s="12" t="str">
        <f>Input!$B$131</f>
        <v>All figures in CHF millions unless stated</v>
      </c>
      <c r="C153" s="7"/>
      <c r="D153" s="7"/>
      <c r="E153" s="7"/>
      <c r="F153" s="13">
        <f>F$2</f>
        <v>2023</v>
      </c>
      <c r="G153" s="13">
        <f t="shared" ref="G153:M153" si="53">G$2</f>
        <v>2024</v>
      </c>
      <c r="H153" s="13">
        <f t="shared" si="53"/>
        <v>2025</v>
      </c>
      <c r="I153" s="14">
        <f t="shared" si="53"/>
        <v>2026</v>
      </c>
      <c r="J153" s="14">
        <f t="shared" si="53"/>
        <v>2027</v>
      </c>
      <c r="K153" s="14">
        <f t="shared" si="53"/>
        <v>2028</v>
      </c>
      <c r="L153" s="14">
        <f t="shared" si="53"/>
        <v>2029</v>
      </c>
      <c r="M153" s="14">
        <f t="shared" si="53"/>
        <v>2030</v>
      </c>
    </row>
    <row r="154" spans="1:13" s="1" customFormat="1" ht="17.399999999999999" outlineLevel="1" thickTop="1">
      <c r="A154" s="183"/>
      <c r="B154" s="12" t="str">
        <f>CONCATENATE("Model Running: ",INDEX(Input!$B$12:$B$14,Input!$D$6)," Drivers")</f>
        <v>Model Running: Base Case Drivers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s="1" customFormat="1" ht="16.8" outlineLevel="1">
      <c r="A155" s="183"/>
      <c r="B155" s="12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6.8" outlineLevel="1">
      <c r="A156" s="182"/>
      <c r="B156" s="89" t="s">
        <v>330</v>
      </c>
      <c r="C156" s="15"/>
      <c r="D156" s="15"/>
      <c r="E156" s="15"/>
      <c r="F156" s="102"/>
      <c r="G156" s="97">
        <f t="shared" ref="G156:M156" si="54">G9/F9-1</f>
        <v>-1.7471692858137544E-2</v>
      </c>
      <c r="H156" s="97">
        <f t="shared" si="54"/>
        <v>-2.0006541648495468E-2</v>
      </c>
      <c r="I156" s="97">
        <f t="shared" si="54"/>
        <v>4.7859741892417595E-3</v>
      </c>
      <c r="J156" s="97">
        <f t="shared" si="54"/>
        <v>1.510107548297146E-2</v>
      </c>
      <c r="K156" s="97">
        <f t="shared" si="54"/>
        <v>4.9999999999998934E-3</v>
      </c>
      <c r="L156" s="97">
        <f t="shared" si="54"/>
        <v>2.0101563277905132E-2</v>
      </c>
      <c r="M156" s="97">
        <f t="shared" si="54"/>
        <v>2.810234966148939E-2</v>
      </c>
    </row>
    <row r="157" spans="1:13" ht="16.8" outlineLevel="1">
      <c r="A157" s="182"/>
      <c r="B157" s="89" t="s">
        <v>331</v>
      </c>
      <c r="C157" s="15"/>
      <c r="D157" s="15"/>
      <c r="E157" s="15"/>
      <c r="F157" s="102"/>
      <c r="G157" s="97">
        <f t="shared" ref="G157:M157" si="55">G14/F14-1</f>
        <v>4.4803378802579674E-2</v>
      </c>
      <c r="H157" s="97">
        <f t="shared" si="55"/>
        <v>-0.13088604829017814</v>
      </c>
      <c r="I157" s="97">
        <f t="shared" si="55"/>
        <v>-5.091690760527956E-3</v>
      </c>
      <c r="J157" s="97">
        <f t="shared" si="55"/>
        <v>3.1125000000000069E-2</v>
      </c>
      <c r="K157" s="97">
        <f t="shared" si="55"/>
        <v>-6.9027044600457055E-3</v>
      </c>
      <c r="L157" s="97">
        <f t="shared" si="55"/>
        <v>4.2898652914517665E-2</v>
      </c>
      <c r="M157" s="97">
        <f t="shared" si="55"/>
        <v>4.4888042335056388E-2</v>
      </c>
    </row>
    <row r="158" spans="1:13" ht="16.8" outlineLevel="1">
      <c r="A158" s="182"/>
      <c r="B158" s="89" t="s">
        <v>332</v>
      </c>
      <c r="C158" s="15"/>
      <c r="D158" s="15"/>
      <c r="E158" s="15"/>
      <c r="F158" s="102"/>
      <c r="G158" s="97">
        <f t="shared" ref="G158:M158" si="56">G17/F17-1</f>
        <v>4.7002773234729345E-2</v>
      </c>
      <c r="H158" s="97">
        <f t="shared" si="56"/>
        <v>-0.16619125237707144</v>
      </c>
      <c r="I158" s="97">
        <f t="shared" si="56"/>
        <v>8.6707827645189361E-3</v>
      </c>
      <c r="J158" s="97">
        <f t="shared" si="56"/>
        <v>3.6398605620540092E-2</v>
      </c>
      <c r="K158" s="97">
        <f t="shared" si="56"/>
        <v>-1.1513088199981536E-2</v>
      </c>
      <c r="L158" s="97">
        <f t="shared" si="56"/>
        <v>5.2302113104349957E-2</v>
      </c>
      <c r="M158" s="97">
        <f t="shared" si="56"/>
        <v>5.0491336508645235E-2</v>
      </c>
    </row>
    <row r="159" spans="1:13" ht="16.8" outlineLevel="1">
      <c r="A159" s="182"/>
      <c r="B159" s="89" t="s">
        <v>333</v>
      </c>
      <c r="C159" s="15"/>
      <c r="D159" s="15"/>
      <c r="E159" s="15"/>
      <c r="F159" s="102"/>
      <c r="G159" s="97">
        <f t="shared" ref="G159:M159" si="57">G24/F24-1</f>
        <v>-2.9107654878790523E-2</v>
      </c>
      <c r="H159" s="97">
        <f t="shared" si="57"/>
        <v>-0.17182745659566856</v>
      </c>
      <c r="I159" s="97">
        <f t="shared" si="57"/>
        <v>2.5106148476334633E-2</v>
      </c>
      <c r="J159" s="97">
        <f t="shared" si="57"/>
        <v>4.3275417430302943E-2</v>
      </c>
      <c r="K159" s="97">
        <f t="shared" si="57"/>
        <v>-4.1394284116949009E-3</v>
      </c>
      <c r="L159" s="97">
        <f t="shared" si="57"/>
        <v>5.999079035786048E-2</v>
      </c>
      <c r="M159" s="97">
        <f t="shared" si="57"/>
        <v>5.7791729741072162E-2</v>
      </c>
    </row>
    <row r="160" spans="1:13" ht="16.8" outlineLevel="1">
      <c r="A160" s="182"/>
      <c r="B160" s="89" t="s">
        <v>334</v>
      </c>
      <c r="C160" s="15"/>
      <c r="D160" s="15"/>
      <c r="E160" s="15"/>
      <c r="F160" s="102"/>
      <c r="G160" s="97">
        <f t="shared" ref="G160:M160" si="58">G56/F56-1</f>
        <v>0.10046621888581586</v>
      </c>
      <c r="H160" s="97">
        <f t="shared" si="58"/>
        <v>-8.6978687959558876E-2</v>
      </c>
      <c r="I160" s="97">
        <f t="shared" si="58"/>
        <v>4.1280287616762834E-4</v>
      </c>
      <c r="J160" s="97">
        <f t="shared" si="58"/>
        <v>1.2803807430577185E-2</v>
      </c>
      <c r="K160" s="97">
        <f t="shared" si="58"/>
        <v>1.5634907339546977E-2</v>
      </c>
      <c r="L160" s="97">
        <f t="shared" si="58"/>
        <v>2.4435602716788241E-2</v>
      </c>
      <c r="M160" s="97">
        <f t="shared" si="58"/>
        <v>1.2849999648034682E-2</v>
      </c>
    </row>
    <row r="161" spans="1:21" ht="16.8" outlineLevel="1">
      <c r="A161" s="182"/>
      <c r="B161" s="89" t="s">
        <v>335</v>
      </c>
      <c r="C161" s="15"/>
      <c r="D161" s="15"/>
      <c r="E161" s="15"/>
      <c r="F161" s="102"/>
      <c r="G161" s="103" t="str">
        <f t="shared" ref="G161:H161" si="59">IFERROR(IF(G158/G156&lt;0,"n.m.",G158/G156),"n.m.")</f>
        <v>n.m.</v>
      </c>
      <c r="H161" s="103">
        <f t="shared" si="59"/>
        <v>8.3068455956539271</v>
      </c>
      <c r="I161" s="103">
        <f>IFERROR(IF(I158/I156&lt;0,"n.m.",I158/I156),"n.m.")</f>
        <v>1.8117069632363909</v>
      </c>
      <c r="J161" s="103">
        <f t="shared" ref="J161:M161" si="60">IFERROR(IF(J158/J156&lt;0,"n.m.",J158/J156),"n.m.")</f>
        <v>2.4103320099011838</v>
      </c>
      <c r="K161" s="103" t="str">
        <f t="shared" si="60"/>
        <v>n.m.</v>
      </c>
      <c r="L161" s="103">
        <f t="shared" si="60"/>
        <v>2.6018928170546034</v>
      </c>
      <c r="M161" s="103">
        <f t="shared" si="60"/>
        <v>1.796694479886749</v>
      </c>
      <c r="O161" s="274"/>
      <c r="P161" s="274"/>
      <c r="Q161" s="274"/>
      <c r="R161" s="274"/>
      <c r="S161" s="274"/>
      <c r="T161" s="274"/>
      <c r="U161" s="274"/>
    </row>
    <row r="162" spans="1:21" ht="16.8" outlineLevel="1">
      <c r="A162" s="182"/>
      <c r="B162" s="89" t="s">
        <v>336</v>
      </c>
      <c r="C162" s="15"/>
      <c r="D162" s="15"/>
      <c r="E162" s="15"/>
      <c r="F162" s="102"/>
      <c r="G162" s="103" t="str">
        <f t="shared" ref="G162:H162" si="61">IFERROR(IF(G159/G158&lt;0,"n.m.",G159/G158),"n.m.")</f>
        <v>n.m.</v>
      </c>
      <c r="H162" s="103">
        <f t="shared" si="61"/>
        <v>1.0339139644113706</v>
      </c>
      <c r="I162" s="103">
        <f>IFERROR(IF(I159/I158&lt;0,"n.m.",I159/I158),"n.m.")</f>
        <v>2.8954881189123585</v>
      </c>
      <c r="J162" s="103">
        <f t="shared" ref="J162:M162" si="62">IFERROR(IF(J159/J158&lt;0,"n.m.",J159/J158),"n.m.")</f>
        <v>1.1889306387572769</v>
      </c>
      <c r="K162" s="103">
        <f t="shared" si="62"/>
        <v>0.35954110137899747</v>
      </c>
      <c r="L162" s="103">
        <f t="shared" si="62"/>
        <v>1.1470050978278936</v>
      </c>
      <c r="M162" s="103">
        <f t="shared" si="62"/>
        <v>1.1445870467535939</v>
      </c>
      <c r="O162" s="274"/>
      <c r="P162" s="274"/>
      <c r="Q162" s="274"/>
      <c r="R162" s="274"/>
      <c r="S162" s="274"/>
      <c r="T162" s="274"/>
      <c r="U162" s="274"/>
    </row>
    <row r="163" spans="1:21" ht="16.8" outlineLevel="1">
      <c r="A163" s="182"/>
      <c r="B163" s="89" t="s">
        <v>337</v>
      </c>
      <c r="C163" s="15"/>
      <c r="D163" s="15"/>
      <c r="E163" s="15"/>
      <c r="F163" s="102"/>
      <c r="G163" s="103">
        <f t="shared" ref="G163:H163" si="63">IFERROR(IF(G159/G156&lt;0,"n.m.",G159/G156),"n.m.")</f>
        <v>1.6659893872409428</v>
      </c>
      <c r="H163" s="103">
        <f t="shared" si="63"/>
        <v>8.5885636615556855</v>
      </c>
      <c r="I163" s="103">
        <f>IFERROR(IF(I159/I156&lt;0,"n.m.",I159/I156),"n.m.")</f>
        <v>5.2457759870017586</v>
      </c>
      <c r="J163" s="103">
        <f t="shared" ref="J163:M163" si="64">IFERROR(IF(J159/J156&lt;0,"n.m.",J159/J156),"n.m.")</f>
        <v>2.865717576148926</v>
      </c>
      <c r="K163" s="103" t="str">
        <f t="shared" si="64"/>
        <v>n.m.</v>
      </c>
      <c r="L163" s="103">
        <f t="shared" si="64"/>
        <v>2.9843843251634095</v>
      </c>
      <c r="M163" s="103">
        <f t="shared" si="64"/>
        <v>2.0564732286520582</v>
      </c>
      <c r="O163" s="274"/>
      <c r="P163" s="274"/>
      <c r="Q163" s="274"/>
      <c r="R163" s="274"/>
      <c r="S163" s="274"/>
      <c r="T163" s="274"/>
      <c r="U163" s="274"/>
    </row>
    <row r="164" spans="1:21" ht="16.8" outlineLevel="1">
      <c r="A164" s="182"/>
      <c r="B164" s="89"/>
      <c r="C164" s="15"/>
      <c r="D164" s="15"/>
      <c r="E164" s="15"/>
      <c r="F164" s="97"/>
      <c r="G164" s="97"/>
      <c r="H164" s="97"/>
      <c r="I164" s="97"/>
      <c r="J164" s="97"/>
      <c r="K164" s="97"/>
      <c r="L164" s="97"/>
      <c r="M164" s="97"/>
    </row>
    <row r="165" spans="1:21" ht="16.8" outlineLevel="1">
      <c r="A165" s="182"/>
      <c r="B165" s="96"/>
      <c r="C165" s="19"/>
      <c r="D165" s="19"/>
      <c r="E165" s="19"/>
      <c r="F165" s="99"/>
      <c r="G165" s="99"/>
      <c r="H165" s="99"/>
      <c r="I165" s="99"/>
      <c r="J165" s="99"/>
      <c r="K165" s="99"/>
      <c r="L165" s="99"/>
      <c r="M165" s="99"/>
    </row>
    <row r="166" spans="1:21" ht="16.8">
      <c r="A166" s="182"/>
      <c r="B166" s="9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</row>
    <row r="167" spans="1:21" ht="16.8">
      <c r="A167" s="182" t="s">
        <v>61</v>
      </c>
      <c r="B167" s="81" t="s">
        <v>338</v>
      </c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</row>
    <row r="168" spans="1:21" ht="16.8" outlineLevel="1">
      <c r="A168" s="182"/>
      <c r="B168" s="9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</row>
    <row r="169" spans="1:21" s="1" customFormat="1" ht="17.399999999999999" outlineLevel="1" thickBot="1">
      <c r="A169" s="183"/>
      <c r="B169" s="12" t="str">
        <f>Input!$B$131</f>
        <v>All figures in CHF millions unless stated</v>
      </c>
      <c r="C169" s="7"/>
      <c r="D169" s="7"/>
      <c r="E169" s="7"/>
      <c r="F169" s="13">
        <f>F$2</f>
        <v>2023</v>
      </c>
      <c r="G169" s="13">
        <f t="shared" ref="G169:M169" si="65">G$2</f>
        <v>2024</v>
      </c>
      <c r="H169" s="13">
        <f t="shared" si="65"/>
        <v>2025</v>
      </c>
      <c r="I169" s="14">
        <f t="shared" si="65"/>
        <v>2026</v>
      </c>
      <c r="J169" s="14">
        <f t="shared" si="65"/>
        <v>2027</v>
      </c>
      <c r="K169" s="14">
        <f t="shared" si="65"/>
        <v>2028</v>
      </c>
      <c r="L169" s="14">
        <f t="shared" si="65"/>
        <v>2029</v>
      </c>
      <c r="M169" s="14">
        <f t="shared" si="65"/>
        <v>2030</v>
      </c>
    </row>
    <row r="170" spans="1:21" s="1" customFormat="1" ht="17.399999999999999" outlineLevel="1" thickTop="1">
      <c r="A170" s="183"/>
      <c r="B170" s="12" t="str">
        <f>CONCATENATE("Model Running: ",INDEX(Input!$B$12:$B$14,Input!$D$6)," Drivers")</f>
        <v>Model Running: Base Case Drivers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</row>
    <row r="171" spans="1:21" s="1" customFormat="1" ht="16.8" outlineLevel="1">
      <c r="A171" s="183"/>
      <c r="B171" s="12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</row>
    <row r="172" spans="1:21" ht="16.8" outlineLevel="1">
      <c r="A172" s="182"/>
      <c r="B172" s="89" t="s">
        <v>302</v>
      </c>
      <c r="C172" s="15"/>
      <c r="D172" s="15"/>
      <c r="E172" s="15"/>
      <c r="F172" s="97">
        <f t="shared" ref="F172:M172" si="66">F24/F9</f>
        <v>0.12328737774635515</v>
      </c>
      <c r="G172" s="97">
        <f t="shared" si="66"/>
        <v>0.12182730047972089</v>
      </c>
      <c r="H172" s="97">
        <f t="shared" si="66"/>
        <v>0.1029537742671191</v>
      </c>
      <c r="I172" s="97">
        <f t="shared" si="66"/>
        <v>0.10503584815186846</v>
      </c>
      <c r="J172" s="97">
        <f t="shared" si="66"/>
        <v>0.10795114001199257</v>
      </c>
      <c r="K172" s="97">
        <f t="shared" si="66"/>
        <v>0.10696943681189264</v>
      </c>
      <c r="L172" s="97">
        <f t="shared" si="66"/>
        <v>0.11115228321582672</v>
      </c>
      <c r="M172" s="97">
        <f t="shared" si="66"/>
        <v>0.11436212159835223</v>
      </c>
    </row>
    <row r="173" spans="1:21" ht="16.8" outlineLevel="1">
      <c r="A173" s="182"/>
      <c r="B173" s="89" t="s">
        <v>308</v>
      </c>
      <c r="C173" s="15"/>
      <c r="D173" s="15"/>
      <c r="E173" s="15"/>
      <c r="F173" s="100">
        <f t="shared" ref="F173:M173" si="67">F9/F56</f>
        <v>0.7376610035559068</v>
      </c>
      <c r="G173" s="100">
        <f t="shared" si="67"/>
        <v>0.6586052389705882</v>
      </c>
      <c r="H173" s="100">
        <f t="shared" si="67"/>
        <v>0.70691539980023754</v>
      </c>
      <c r="I173" s="100">
        <f t="shared" si="67"/>
        <v>0.71000558630953536</v>
      </c>
      <c r="J173" s="100">
        <f t="shared" si="67"/>
        <v>0.71161603952711194</v>
      </c>
      <c r="K173" s="100">
        <f t="shared" si="67"/>
        <v>0.704164571891433</v>
      </c>
      <c r="L173" s="100">
        <f t="shared" si="67"/>
        <v>0.70118549051438184</v>
      </c>
      <c r="M173" s="100">
        <f t="shared" si="67"/>
        <v>0.71174453334342624</v>
      </c>
    </row>
    <row r="174" spans="1:21" ht="16.8" outlineLevel="1">
      <c r="A174" s="182"/>
      <c r="B174" s="89" t="s">
        <v>339</v>
      </c>
      <c r="C174" s="15"/>
      <c r="D174" s="15"/>
      <c r="E174" s="15"/>
      <c r="F174" s="100">
        <f t="shared" ref="F174:M174" si="68">F56/F69</f>
        <v>3.4778904553824166</v>
      </c>
      <c r="G174" s="100">
        <f t="shared" si="68"/>
        <v>3.7953833156187828</v>
      </c>
      <c r="H174" s="100">
        <f t="shared" si="68"/>
        <v>3.8463004416480127</v>
      </c>
      <c r="I174" s="100">
        <f t="shared" si="68"/>
        <v>3.7014419647198831</v>
      </c>
      <c r="J174" s="100">
        <f t="shared" si="68"/>
        <v>3.5834102238658976</v>
      </c>
      <c r="K174" s="100">
        <f t="shared" si="68"/>
        <v>3.5014770067902554</v>
      </c>
      <c r="L174" s="100">
        <f t="shared" si="68"/>
        <v>3.416246809164162</v>
      </c>
      <c r="M174" s="100">
        <f t="shared" si="68"/>
        <v>3.4311359984080223</v>
      </c>
    </row>
    <row r="175" spans="1:21" ht="16.8" outlineLevel="1">
      <c r="A175" s="182"/>
      <c r="B175" s="89" t="s">
        <v>340</v>
      </c>
      <c r="C175" s="15"/>
      <c r="D175" s="15"/>
      <c r="E175" s="15"/>
      <c r="F175" s="97">
        <f>F172*F173*F174</f>
        <v>0.31629428092450595</v>
      </c>
      <c r="G175" s="97">
        <f t="shared" ref="G175:M175" si="69">G172*G173*G174</f>
        <v>0.30452674897119342</v>
      </c>
      <c r="H175" s="97">
        <f t="shared" si="69"/>
        <v>0.27993224030491864</v>
      </c>
      <c r="I175" s="97">
        <f t="shared" si="69"/>
        <v>0.27603888013428612</v>
      </c>
      <c r="J175" s="97">
        <f t="shared" si="69"/>
        <v>0.27527672311781254</v>
      </c>
      <c r="K175" s="97">
        <f t="shared" si="69"/>
        <v>0.26374556106236963</v>
      </c>
      <c r="L175" s="97">
        <f t="shared" si="69"/>
        <v>0.26625670177201638</v>
      </c>
      <c r="M175" s="97">
        <f t="shared" si="69"/>
        <v>0.27928285542620873</v>
      </c>
    </row>
    <row r="176" spans="1:21" ht="16.8" outlineLevel="1">
      <c r="A176" s="182"/>
      <c r="B176" s="92" t="s">
        <v>296</v>
      </c>
      <c r="C176" s="15"/>
      <c r="D176" s="15"/>
      <c r="E176" s="15"/>
      <c r="F176" s="98">
        <f>ROUND(F175-F79,6)</f>
        <v>0</v>
      </c>
      <c r="G176" s="98">
        <f t="shared" ref="G176:M176" si="70">ROUND(G175-G79,6)</f>
        <v>0</v>
      </c>
      <c r="H176" s="98">
        <f t="shared" si="70"/>
        <v>0</v>
      </c>
      <c r="I176" s="98">
        <f t="shared" si="70"/>
        <v>0</v>
      </c>
      <c r="J176" s="98">
        <f t="shared" si="70"/>
        <v>0</v>
      </c>
      <c r="K176" s="98">
        <f t="shared" si="70"/>
        <v>0</v>
      </c>
      <c r="L176" s="98">
        <f t="shared" si="70"/>
        <v>0</v>
      </c>
      <c r="M176" s="98">
        <f t="shared" si="70"/>
        <v>0</v>
      </c>
    </row>
    <row r="177" spans="1:13" ht="16.8" outlineLevel="1">
      <c r="A177" s="182"/>
      <c r="B177" s="89"/>
      <c r="C177" s="15"/>
      <c r="D177" s="15"/>
      <c r="E177" s="15"/>
      <c r="F177" s="97"/>
      <c r="G177" s="97"/>
      <c r="H177" s="97"/>
      <c r="I177" s="97"/>
      <c r="J177" s="97"/>
      <c r="K177" s="97"/>
      <c r="L177" s="97"/>
      <c r="M177" s="97"/>
    </row>
    <row r="178" spans="1:13" ht="16.8" outlineLevel="1">
      <c r="A178" s="182"/>
      <c r="B178" s="96"/>
      <c r="C178" s="19"/>
      <c r="D178" s="19"/>
      <c r="E178" s="19"/>
      <c r="F178" s="99"/>
      <c r="G178" s="99"/>
      <c r="H178" s="99"/>
      <c r="I178" s="99"/>
      <c r="J178" s="99"/>
      <c r="K178" s="99"/>
      <c r="L178" s="99"/>
      <c r="M178" s="99"/>
    </row>
    <row r="179" spans="1:13" ht="16.8">
      <c r="A179" s="182"/>
      <c r="B179" s="9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</row>
    <row r="180" spans="1:13" ht="16.8">
      <c r="A180" s="182" t="s">
        <v>61</v>
      </c>
      <c r="B180" s="81" t="s">
        <v>341</v>
      </c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</row>
    <row r="181" spans="1:13" ht="16.8" outlineLevel="1">
      <c r="A181" s="182"/>
      <c r="B181" s="9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</row>
    <row r="182" spans="1:13" s="1" customFormat="1" ht="17.399999999999999" outlineLevel="1" thickBot="1">
      <c r="A182" s="183"/>
      <c r="B182" s="12" t="str">
        <f>Input!$B$131</f>
        <v>All figures in CHF millions unless stated</v>
      </c>
      <c r="C182" s="7"/>
      <c r="D182" s="7"/>
      <c r="E182" s="7"/>
      <c r="F182" s="13">
        <f>F$2</f>
        <v>2023</v>
      </c>
      <c r="G182" s="13">
        <f t="shared" ref="G182:M182" si="71">G$2</f>
        <v>2024</v>
      </c>
      <c r="H182" s="13">
        <f t="shared" si="71"/>
        <v>2025</v>
      </c>
      <c r="I182" s="14">
        <f t="shared" si="71"/>
        <v>2026</v>
      </c>
      <c r="J182" s="14">
        <f t="shared" si="71"/>
        <v>2027</v>
      </c>
      <c r="K182" s="14">
        <f t="shared" si="71"/>
        <v>2028</v>
      </c>
      <c r="L182" s="14">
        <f t="shared" si="71"/>
        <v>2029</v>
      </c>
      <c r="M182" s="14">
        <f t="shared" si="71"/>
        <v>2030</v>
      </c>
    </row>
    <row r="183" spans="1:13" s="1" customFormat="1" ht="17.399999999999999" outlineLevel="1" thickTop="1">
      <c r="A183" s="183"/>
      <c r="B183" s="12" t="str">
        <f>CONCATENATE("Model Running: ",INDEX(Input!$B$12:$B$14,Input!$D$6)," Drivers")</f>
        <v>Model Running: Base Case Drivers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</row>
    <row r="184" spans="1:13" s="1" customFormat="1" ht="16.8" outlineLevel="1">
      <c r="A184" s="183"/>
      <c r="B184" s="12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</row>
    <row r="185" spans="1:13" ht="16.8" outlineLevel="1">
      <c r="A185" s="182"/>
      <c r="B185" s="89" t="s">
        <v>304</v>
      </c>
      <c r="C185" s="15"/>
      <c r="D185" s="15"/>
      <c r="E185" s="15"/>
      <c r="F185" s="97">
        <f t="shared" ref="F185:M185" si="72">F24/F20</f>
        <v>0.90600645516807055</v>
      </c>
      <c r="G185" s="97">
        <f t="shared" si="72"/>
        <v>0.84402145177128185</v>
      </c>
      <c r="H185" s="97">
        <f t="shared" si="72"/>
        <v>0.86075713887080274</v>
      </c>
      <c r="I185" s="97">
        <f t="shared" si="72"/>
        <v>0.87339117406067168</v>
      </c>
      <c r="J185" s="97">
        <f t="shared" si="72"/>
        <v>0.87300283075887475</v>
      </c>
      <c r="K185" s="97">
        <f t="shared" si="72"/>
        <v>0.87850005767957595</v>
      </c>
      <c r="L185" s="97">
        <f t="shared" si="72"/>
        <v>0.87727327594563698</v>
      </c>
      <c r="M185" s="97">
        <f t="shared" si="72"/>
        <v>0.87632591750440447</v>
      </c>
    </row>
    <row r="186" spans="1:13" ht="16.8" outlineLevel="1">
      <c r="A186" s="182"/>
      <c r="B186" s="89" t="s">
        <v>306</v>
      </c>
      <c r="C186" s="15"/>
      <c r="D186" s="15"/>
      <c r="E186" s="15"/>
      <c r="F186" s="97">
        <f t="shared" ref="F186:M186" si="73">F20/F17</f>
        <v>0.90329232738391518</v>
      </c>
      <c r="G186" s="97">
        <f t="shared" si="73"/>
        <v>0.89914425427872857</v>
      </c>
      <c r="H186" s="97">
        <f t="shared" si="73"/>
        <v>0.87570253319214797</v>
      </c>
      <c r="I186" s="97">
        <f t="shared" si="73"/>
        <v>0.87709742821936421</v>
      </c>
      <c r="J186" s="97">
        <f t="shared" si="73"/>
        <v>0.88330998310545461</v>
      </c>
      <c r="K186" s="97">
        <f t="shared" si="73"/>
        <v>0.88433051474663438</v>
      </c>
      <c r="L186" s="97">
        <f t="shared" si="73"/>
        <v>0.89203758865462912</v>
      </c>
      <c r="M186" s="97">
        <f t="shared" si="73"/>
        <v>0.89920785237590484</v>
      </c>
    </row>
    <row r="187" spans="1:13" ht="16.8" outlineLevel="1">
      <c r="A187" s="182"/>
      <c r="B187" s="89" t="s">
        <v>298</v>
      </c>
      <c r="C187" s="15"/>
      <c r="D187" s="15"/>
      <c r="E187" s="15"/>
      <c r="F187" s="97">
        <f t="shared" ref="F187:M187" si="74">F17/F9</f>
        <v>0.15064648477252521</v>
      </c>
      <c r="G187" s="97">
        <f t="shared" si="74"/>
        <v>0.16053205407762755</v>
      </c>
      <c r="H187" s="97">
        <f t="shared" si="74"/>
        <v>0.13658563720309283</v>
      </c>
      <c r="I187" s="97">
        <f t="shared" si="74"/>
        <v>0.13711371887251941</v>
      </c>
      <c r="J187" s="97">
        <f t="shared" si="74"/>
        <v>0.1399904605394241</v>
      </c>
      <c r="K187" s="97">
        <f t="shared" si="74"/>
        <v>0.13769028658714197</v>
      </c>
      <c r="L187" s="97">
        <f t="shared" si="74"/>
        <v>0.14203662139680531</v>
      </c>
      <c r="M187" s="97">
        <f t="shared" si="74"/>
        <v>0.14512975317431226</v>
      </c>
    </row>
    <row r="188" spans="1:13" ht="16.8" outlineLevel="1">
      <c r="A188" s="182"/>
      <c r="B188" s="89" t="s">
        <v>308</v>
      </c>
      <c r="C188" s="15"/>
      <c r="D188" s="15"/>
      <c r="E188" s="15"/>
      <c r="F188" s="100">
        <f t="shared" ref="F188:M188" si="75">F9/F56</f>
        <v>0.7376610035559068</v>
      </c>
      <c r="G188" s="100">
        <f t="shared" si="75"/>
        <v>0.6586052389705882</v>
      </c>
      <c r="H188" s="100">
        <f t="shared" si="75"/>
        <v>0.70691539980023754</v>
      </c>
      <c r="I188" s="100">
        <f t="shared" si="75"/>
        <v>0.71000558630953536</v>
      </c>
      <c r="J188" s="100">
        <f t="shared" si="75"/>
        <v>0.71161603952711194</v>
      </c>
      <c r="K188" s="100">
        <f t="shared" si="75"/>
        <v>0.704164571891433</v>
      </c>
      <c r="L188" s="100">
        <f t="shared" si="75"/>
        <v>0.70118549051438184</v>
      </c>
      <c r="M188" s="100">
        <f t="shared" si="75"/>
        <v>0.71174453334342624</v>
      </c>
    </row>
    <row r="189" spans="1:13" ht="16.8" outlineLevel="1">
      <c r="A189" s="182"/>
      <c r="B189" s="89" t="s">
        <v>339</v>
      </c>
      <c r="C189" s="15"/>
      <c r="D189" s="15"/>
      <c r="E189" s="15"/>
      <c r="F189" s="100">
        <f t="shared" ref="F189:M189" si="76">F56/F69</f>
        <v>3.4778904553824166</v>
      </c>
      <c r="G189" s="100">
        <f t="shared" si="76"/>
        <v>3.7953833156187828</v>
      </c>
      <c r="H189" s="100">
        <f t="shared" si="76"/>
        <v>3.8463004416480127</v>
      </c>
      <c r="I189" s="100">
        <f t="shared" si="76"/>
        <v>3.7014419647198831</v>
      </c>
      <c r="J189" s="100">
        <f t="shared" si="76"/>
        <v>3.5834102238658976</v>
      </c>
      <c r="K189" s="100">
        <f t="shared" si="76"/>
        <v>3.5014770067902554</v>
      </c>
      <c r="L189" s="100">
        <f t="shared" si="76"/>
        <v>3.416246809164162</v>
      </c>
      <c r="M189" s="100">
        <f t="shared" si="76"/>
        <v>3.4311359984080223</v>
      </c>
    </row>
    <row r="190" spans="1:13" ht="16.8" outlineLevel="1">
      <c r="A190" s="182"/>
      <c r="B190" s="89" t="s">
        <v>340</v>
      </c>
      <c r="C190" s="15"/>
      <c r="D190" s="15"/>
      <c r="E190" s="15"/>
      <c r="F190" s="97">
        <f t="shared" ref="F190:M190" si="77">F185*F186*F187*F188*F189</f>
        <v>0.31629428092450601</v>
      </c>
      <c r="G190" s="97">
        <f t="shared" si="77"/>
        <v>0.30452674897119336</v>
      </c>
      <c r="H190" s="97">
        <f t="shared" si="77"/>
        <v>0.27993224030491859</v>
      </c>
      <c r="I190" s="97">
        <f t="shared" si="77"/>
        <v>0.27603888013428612</v>
      </c>
      <c r="J190" s="97">
        <f t="shared" si="77"/>
        <v>0.27527672311781254</v>
      </c>
      <c r="K190" s="97">
        <f t="shared" si="77"/>
        <v>0.26374556106236957</v>
      </c>
      <c r="L190" s="97">
        <f t="shared" si="77"/>
        <v>0.26625670177201638</v>
      </c>
      <c r="M190" s="97">
        <f t="shared" si="77"/>
        <v>0.27928285542620873</v>
      </c>
    </row>
    <row r="191" spans="1:13" ht="16.8" outlineLevel="1">
      <c r="A191" s="182"/>
      <c r="B191" s="92" t="s">
        <v>296</v>
      </c>
      <c r="C191" s="15"/>
      <c r="D191" s="15"/>
      <c r="E191" s="15"/>
      <c r="F191" s="98">
        <f t="shared" ref="F191:M191" si="78">ROUND(F190-F79,6)</f>
        <v>0</v>
      </c>
      <c r="G191" s="98">
        <f t="shared" si="78"/>
        <v>0</v>
      </c>
      <c r="H191" s="98">
        <f t="shared" si="78"/>
        <v>0</v>
      </c>
      <c r="I191" s="98">
        <f t="shared" si="78"/>
        <v>0</v>
      </c>
      <c r="J191" s="98">
        <f t="shared" si="78"/>
        <v>0</v>
      </c>
      <c r="K191" s="98">
        <f t="shared" si="78"/>
        <v>0</v>
      </c>
      <c r="L191" s="98">
        <f t="shared" si="78"/>
        <v>0</v>
      </c>
      <c r="M191" s="98">
        <f t="shared" si="78"/>
        <v>0</v>
      </c>
    </row>
    <row r="192" spans="1:13" ht="16.8" outlineLevel="1">
      <c r="A192" s="182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</row>
    <row r="193" spans="1:13" ht="16.8" outlineLevel="1">
      <c r="A193" s="182" t="s">
        <v>61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</row>
    <row r="194" spans="1:13" ht="16.8">
      <c r="A194" s="182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</row>
  </sheetData>
  <sheetProtection selectLockedCell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5FAD-C3A3-4534-98E3-9AC3D4119B9D}">
  <dimension ref="A1:P191"/>
  <sheetViews>
    <sheetView showGridLines="0" zoomScale="85" zoomScaleNormal="85" workbookViewId="0">
      <pane ySplit="2" topLeftCell="A3" activePane="bottomLeft" state="frozen"/>
      <selection pane="bottomLeft" activeCell="O133" sqref="O133"/>
    </sheetView>
  </sheetViews>
  <sheetFormatPr defaultRowHeight="16.8" outlineLevelRow="1" outlineLevelCol="1"/>
  <cols>
    <col min="1" max="1" width="7.77734375" style="181" customWidth="1"/>
    <col min="2" max="2" width="13.21875" style="1" customWidth="1"/>
    <col min="3" max="3" width="17.109375" style="1" customWidth="1"/>
    <col min="4" max="4" width="11.88671875" style="1" customWidth="1"/>
    <col min="5" max="5" width="16.88671875" style="1" customWidth="1"/>
    <col min="6" max="8" width="8.88671875" style="1"/>
    <col min="9" max="9" width="10.6640625" style="1" bestFit="1" customWidth="1"/>
    <col min="10" max="11" width="11.44140625" style="1" bestFit="1" customWidth="1"/>
    <col min="12" max="13" width="11.77734375" style="1" bestFit="1" customWidth="1"/>
    <col min="14" max="14" width="7.109375" style="1" customWidth="1"/>
    <col min="15" max="15" width="29.33203125" style="69" customWidth="1" outlineLevel="1"/>
    <col min="16" max="16" width="8.88671875" style="1" customWidth="1" outlineLevel="1"/>
    <col min="17" max="16384" width="8.88671875" style="1"/>
  </cols>
  <sheetData>
    <row r="1" spans="1:15" ht="56.4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5">
      <c r="A2" s="181" t="s">
        <v>61</v>
      </c>
      <c r="B2" s="5" t="str">
        <f>"Nestlé S.A.  |  CHF millions  |  Scenario: "&amp;INDEX(Input!$B$12:$B$14,Input!$D$6)</f>
        <v>Nestlé S.A.  |  CHF millions  |  Scenario: Base Case</v>
      </c>
      <c r="C2" s="5"/>
      <c r="D2" s="5"/>
      <c r="E2" s="5"/>
      <c r="F2" s="5"/>
      <c r="G2" s="5"/>
      <c r="H2" s="5"/>
      <c r="I2" s="187">
        <f>F173</f>
        <v>2026</v>
      </c>
      <c r="J2" s="187">
        <f>I2+1</f>
        <v>2027</v>
      </c>
      <c r="K2" s="187">
        <f>J2+1</f>
        <v>2028</v>
      </c>
      <c r="L2" s="187">
        <f>K2+1</f>
        <v>2029</v>
      </c>
      <c r="M2" s="187">
        <f>L2+1</f>
        <v>2030</v>
      </c>
      <c r="O2" s="170" t="s">
        <v>1</v>
      </c>
    </row>
    <row r="4" spans="1:15">
      <c r="A4" s="181" t="s">
        <v>61</v>
      </c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5" outlineLevel="1"/>
    <row r="6" spans="1:15" outlineLevel="1">
      <c r="C6" s="188" t="s">
        <v>0</v>
      </c>
      <c r="D6" s="189">
        <f>Dashboard!$F$2</f>
        <v>2</v>
      </c>
    </row>
    <row r="7" spans="1:15" outlineLevel="1"/>
    <row r="8" spans="1:15" ht="17.399999999999999" outlineLevel="1" thickBot="1">
      <c r="B8" s="70" t="s">
        <v>415</v>
      </c>
      <c r="I8" s="71">
        <f>I$2</f>
        <v>2026</v>
      </c>
      <c r="J8" s="71">
        <f t="shared" ref="J8:M8" si="0">J$2</f>
        <v>2027</v>
      </c>
      <c r="K8" s="71">
        <f t="shared" si="0"/>
        <v>2028</v>
      </c>
      <c r="L8" s="71">
        <f t="shared" si="0"/>
        <v>2029</v>
      </c>
      <c r="M8" s="71">
        <f t="shared" si="0"/>
        <v>2030</v>
      </c>
    </row>
    <row r="9" spans="1:15" ht="17.399999999999999" outlineLevel="1" thickTop="1"/>
    <row r="10" spans="1:15" outlineLevel="1">
      <c r="B10" s="72" t="s">
        <v>3</v>
      </c>
      <c r="I10" s="219">
        <f>INDEX(I12:I14,$D$6)</f>
        <v>5.0000000000000001E-3</v>
      </c>
      <c r="J10" s="220">
        <f>INDEX(J12:J14,$D$6)</f>
        <v>1.4999999999999999E-2</v>
      </c>
      <c r="K10" s="220">
        <f>INDEX(K12:K14,$D$6)</f>
        <v>5.0000000000000001E-3</v>
      </c>
      <c r="L10" s="220">
        <f>INDEX(L12:L14,$D$6)</f>
        <v>0.02</v>
      </c>
      <c r="M10" s="221">
        <f>INDEX(M12:M14,$D$6)</f>
        <v>2.8000000000000001E-2</v>
      </c>
    </row>
    <row r="11" spans="1:15" outlineLevel="1"/>
    <row r="12" spans="1:15" outlineLevel="1">
      <c r="B12" s="1" t="s">
        <v>4</v>
      </c>
      <c r="I12" s="193">
        <v>2.5000000000000001E-2</v>
      </c>
      <c r="J12" s="194">
        <v>3.5000000000000003E-2</v>
      </c>
      <c r="K12" s="194">
        <v>0.04</v>
      </c>
      <c r="L12" s="194">
        <v>4.4999999999999998E-2</v>
      </c>
      <c r="M12" s="195">
        <v>0.05</v>
      </c>
      <c r="O12" s="275" t="s">
        <v>435</v>
      </c>
    </row>
    <row r="13" spans="1:15" outlineLevel="1">
      <c r="B13" s="1" t="s">
        <v>5</v>
      </c>
      <c r="I13" s="196">
        <v>5.0000000000000001E-3</v>
      </c>
      <c r="J13" s="197">
        <v>1.4999999999999999E-2</v>
      </c>
      <c r="K13" s="197">
        <v>5.0000000000000001E-3</v>
      </c>
      <c r="L13" s="197">
        <v>0.02</v>
      </c>
      <c r="M13" s="198">
        <v>2.8000000000000001E-2</v>
      </c>
      <c r="O13" s="275" t="s">
        <v>490</v>
      </c>
    </row>
    <row r="14" spans="1:15" outlineLevel="1">
      <c r="B14" s="1" t="s">
        <v>6</v>
      </c>
      <c r="I14" s="199">
        <v>-1.4999999999999999E-2</v>
      </c>
      <c r="J14" s="200">
        <v>-0.01</v>
      </c>
      <c r="K14" s="200">
        <v>-5.5E-2</v>
      </c>
      <c r="L14" s="200">
        <v>-0.03</v>
      </c>
      <c r="M14" s="201">
        <v>5.0000000000000001E-3</v>
      </c>
      <c r="O14" s="275" t="s">
        <v>436</v>
      </c>
    </row>
    <row r="15" spans="1:15" outlineLevel="1">
      <c r="O15" s="275"/>
    </row>
    <row r="16" spans="1:15" outlineLevel="1">
      <c r="O16" s="275"/>
    </row>
    <row r="17" spans="2:15" outlineLevel="1">
      <c r="B17" s="72" t="s">
        <v>7</v>
      </c>
      <c r="I17" s="219">
        <f>INDEX(I19:I21,$D$6)</f>
        <v>4.1999999999999997E-3</v>
      </c>
      <c r="J17" s="220">
        <f>INDEX(J19:J21,$D$6)</f>
        <v>4.3E-3</v>
      </c>
      <c r="K17" s="220">
        <f>INDEX(K19:K21,$D$6)</f>
        <v>4.3E-3</v>
      </c>
      <c r="L17" s="220">
        <f>INDEX(L19:L21,$D$6)</f>
        <v>4.4000000000000003E-3</v>
      </c>
      <c r="M17" s="221">
        <f>INDEX(M19:M21,$D$6)</f>
        <v>4.4999999999999997E-3</v>
      </c>
      <c r="O17" s="275"/>
    </row>
    <row r="18" spans="2:15" outlineLevel="1">
      <c r="O18" s="275"/>
    </row>
    <row r="19" spans="2:15" outlineLevel="1">
      <c r="B19" s="215">
        <v>1</v>
      </c>
      <c r="I19" s="193">
        <v>4.1999999999999997E-3</v>
      </c>
      <c r="J19" s="194">
        <v>4.4000000000000003E-3</v>
      </c>
      <c r="K19" s="194">
        <v>4.5999999999999999E-3</v>
      </c>
      <c r="L19" s="194">
        <v>4.7999999999999996E-3</v>
      </c>
      <c r="M19" s="195">
        <v>5.0000000000000001E-3</v>
      </c>
      <c r="O19" s="275" t="s">
        <v>437</v>
      </c>
    </row>
    <row r="20" spans="2:15" outlineLevel="1">
      <c r="B20" s="216">
        <v>2</v>
      </c>
      <c r="I20" s="196">
        <v>4.1999999999999997E-3</v>
      </c>
      <c r="J20" s="197">
        <v>4.3E-3</v>
      </c>
      <c r="K20" s="197">
        <v>4.3E-3</v>
      </c>
      <c r="L20" s="197">
        <v>4.4000000000000003E-3</v>
      </c>
      <c r="M20" s="198">
        <v>4.4999999999999997E-3</v>
      </c>
      <c r="O20" s="275" t="s">
        <v>491</v>
      </c>
    </row>
    <row r="21" spans="2:15" outlineLevel="1">
      <c r="B21" s="217">
        <v>3</v>
      </c>
      <c r="I21" s="199">
        <v>3.8E-3</v>
      </c>
      <c r="J21" s="200">
        <v>3.5000000000000001E-3</v>
      </c>
      <c r="K21" s="200">
        <v>3.0000000000000001E-3</v>
      </c>
      <c r="L21" s="200">
        <v>3.3E-3</v>
      </c>
      <c r="M21" s="201">
        <v>3.5999999999999999E-3</v>
      </c>
      <c r="O21" s="275" t="s">
        <v>438</v>
      </c>
    </row>
    <row r="22" spans="2:15" outlineLevel="1">
      <c r="B22" s="218"/>
      <c r="O22" s="275"/>
    </row>
    <row r="23" spans="2:15" outlineLevel="1">
      <c r="O23" s="275"/>
    </row>
    <row r="24" spans="2:15" outlineLevel="1">
      <c r="B24" s="72" t="s">
        <v>8</v>
      </c>
      <c r="I24" s="219">
        <f>INDEX(I26:I28,$D$6)</f>
        <v>9.0441984638767203E-4</v>
      </c>
      <c r="J24" s="220">
        <f>INDEX(J26:J28,$D$6)</f>
        <v>1.87407191548596E-2</v>
      </c>
      <c r="K24" s="220">
        <f>INDEX(K26:K28,$D$6)</f>
        <v>1.7768005582209999E-2</v>
      </c>
      <c r="L24" s="220">
        <f>INDEX(L26:L28,$D$6)</f>
        <v>1.8371852692881101E-2</v>
      </c>
      <c r="M24" s="221">
        <f>INDEX(M26:M28,$D$6)</f>
        <v>2.55301786228894E-2</v>
      </c>
      <c r="O24" s="275"/>
    </row>
    <row r="25" spans="2:15" outlineLevel="1">
      <c r="O25" s="275"/>
    </row>
    <row r="26" spans="2:15" outlineLevel="1">
      <c r="B26" s="1" t="s">
        <v>4</v>
      </c>
      <c r="I26" s="193">
        <v>1.50821543722017E-2</v>
      </c>
      <c r="J26" s="194">
        <v>2.8739311795296801E-2</v>
      </c>
      <c r="K26" s="194">
        <v>3.0626200588399301E-2</v>
      </c>
      <c r="L26" s="194">
        <v>3.4982240647249502E-2</v>
      </c>
      <c r="M26" s="195">
        <v>3.5676957968046701E-2</v>
      </c>
      <c r="O26" s="275" t="s">
        <v>439</v>
      </c>
    </row>
    <row r="27" spans="2:15" outlineLevel="1">
      <c r="B27" s="1" t="s">
        <v>5</v>
      </c>
      <c r="I27" s="196">
        <v>9.0441984638767203E-4</v>
      </c>
      <c r="J27" s="197">
        <v>1.87407191548596E-2</v>
      </c>
      <c r="K27" s="197">
        <v>1.7768005582209999E-2</v>
      </c>
      <c r="L27" s="197">
        <v>1.8371852692881101E-2</v>
      </c>
      <c r="M27" s="198">
        <v>2.55301786228894E-2</v>
      </c>
      <c r="O27" s="275" t="s">
        <v>492</v>
      </c>
    </row>
    <row r="28" spans="2:15" outlineLevel="1">
      <c r="B28" s="1" t="s">
        <v>6</v>
      </c>
      <c r="I28" s="199">
        <v>-1.0364990758615E-2</v>
      </c>
      <c r="J28" s="200">
        <v>3.39324456128276E-4</v>
      </c>
      <c r="K28" s="200">
        <v>-5.2572216617453198E-2</v>
      </c>
      <c r="L28" s="200">
        <v>-1.83886408829936E-3</v>
      </c>
      <c r="M28" s="201">
        <v>-5.4555294172531402E-5</v>
      </c>
      <c r="O28" s="275" t="s">
        <v>440</v>
      </c>
    </row>
    <row r="29" spans="2:15" outlineLevel="1">
      <c r="O29" s="275"/>
    </row>
    <row r="30" spans="2:15" outlineLevel="1">
      <c r="O30" s="275"/>
    </row>
    <row r="31" spans="2:15" outlineLevel="1">
      <c r="B31" s="72" t="s">
        <v>9</v>
      </c>
      <c r="I31" s="219">
        <f>INDEX(I33:I35,$D$6)</f>
        <v>8.1000000000000003E-2</v>
      </c>
      <c r="J31" s="220">
        <f>INDEX(J33:J35,$D$6)</f>
        <v>8.0500000000000002E-2</v>
      </c>
      <c r="K31" s="220">
        <f>INDEX(K33:K35,$D$6)</f>
        <v>0.08</v>
      </c>
      <c r="L31" s="220">
        <f>INDEX(L33:L35,$D$6)</f>
        <v>7.9500000000000001E-2</v>
      </c>
      <c r="M31" s="221">
        <f>INDEX(M33:M35,$D$6)</f>
        <v>7.9000000000000001E-2</v>
      </c>
      <c r="O31" s="275"/>
    </row>
    <row r="32" spans="2:15" outlineLevel="1">
      <c r="O32" s="275"/>
    </row>
    <row r="33" spans="2:15" outlineLevel="1">
      <c r="B33" s="1" t="s">
        <v>4</v>
      </c>
      <c r="I33" s="193">
        <v>0.08</v>
      </c>
      <c r="J33" s="194">
        <v>7.85E-2</v>
      </c>
      <c r="K33" s="194">
        <v>7.6999999999999999E-2</v>
      </c>
      <c r="L33" s="194">
        <v>7.5499999999999998E-2</v>
      </c>
      <c r="M33" s="195">
        <v>7.3999999999999996E-2</v>
      </c>
      <c r="O33" s="275" t="s">
        <v>441</v>
      </c>
    </row>
    <row r="34" spans="2:15" outlineLevel="1">
      <c r="B34" s="1" t="s">
        <v>5</v>
      </c>
      <c r="I34" s="196">
        <v>8.1000000000000003E-2</v>
      </c>
      <c r="J34" s="197">
        <v>8.0500000000000002E-2</v>
      </c>
      <c r="K34" s="197">
        <v>0.08</v>
      </c>
      <c r="L34" s="197">
        <v>7.9500000000000001E-2</v>
      </c>
      <c r="M34" s="198">
        <v>7.9000000000000001E-2</v>
      </c>
      <c r="O34" s="275" t="s">
        <v>442</v>
      </c>
    </row>
    <row r="35" spans="2:15" outlineLevel="1">
      <c r="B35" s="1" t="s">
        <v>6</v>
      </c>
      <c r="I35" s="199">
        <v>8.3000000000000004E-2</v>
      </c>
      <c r="J35" s="200">
        <v>8.5000000000000006E-2</v>
      </c>
      <c r="K35" s="200">
        <v>0.09</v>
      </c>
      <c r="L35" s="200">
        <v>8.6999999999999994E-2</v>
      </c>
      <c r="M35" s="201">
        <v>8.4000000000000005E-2</v>
      </c>
      <c r="O35" s="275" t="s">
        <v>443</v>
      </c>
    </row>
    <row r="36" spans="2:15" outlineLevel="1">
      <c r="O36" s="275"/>
    </row>
    <row r="37" spans="2:15" outlineLevel="1">
      <c r="O37" s="275"/>
    </row>
    <row r="38" spans="2:15" outlineLevel="1">
      <c r="B38" s="72" t="s">
        <v>10</v>
      </c>
      <c r="I38" s="219">
        <f>INDEX(I40:I42,$D$6)</f>
        <v>0.2</v>
      </c>
      <c r="J38" s="220">
        <f>INDEX(J40:J42,$D$6)</f>
        <v>0.20100000000000001</v>
      </c>
      <c r="K38" s="220">
        <f>INDEX(K40:K42,$D$6)</f>
        <v>0.20100000000000001</v>
      </c>
      <c r="L38" s="220">
        <f>INDEX(L40:L42,$D$6)</f>
        <v>0.20200000000000001</v>
      </c>
      <c r="M38" s="221">
        <f>INDEX(M40:M42,$D$6)</f>
        <v>0.20300000000000001</v>
      </c>
      <c r="O38" s="275"/>
    </row>
    <row r="39" spans="2:15" outlineLevel="1">
      <c r="O39" s="275"/>
    </row>
    <row r="40" spans="2:15" outlineLevel="1">
      <c r="B40" s="1" t="s">
        <v>4</v>
      </c>
      <c r="I40" s="193">
        <v>0.20100000000000001</v>
      </c>
      <c r="J40" s="194">
        <v>0.20300000000000001</v>
      </c>
      <c r="K40" s="194">
        <v>0.20499999999999999</v>
      </c>
      <c r="L40" s="194">
        <v>0.20599999999999999</v>
      </c>
      <c r="M40" s="195">
        <v>0.20799999999999999</v>
      </c>
      <c r="O40" s="275" t="s">
        <v>444</v>
      </c>
    </row>
    <row r="41" spans="2:15" outlineLevel="1">
      <c r="B41" s="1" t="s">
        <v>5</v>
      </c>
      <c r="I41" s="196">
        <v>0.2</v>
      </c>
      <c r="J41" s="197">
        <v>0.20100000000000001</v>
      </c>
      <c r="K41" s="197">
        <v>0.20100000000000001</v>
      </c>
      <c r="L41" s="197">
        <v>0.20200000000000001</v>
      </c>
      <c r="M41" s="198">
        <v>0.20300000000000001</v>
      </c>
      <c r="O41" s="275" t="s">
        <v>445</v>
      </c>
    </row>
    <row r="42" spans="2:15" outlineLevel="1">
      <c r="B42" s="1" t="s">
        <v>6</v>
      </c>
      <c r="I42" s="199">
        <v>0.19700000000000001</v>
      </c>
      <c r="J42" s="200">
        <v>0.20200000000000001</v>
      </c>
      <c r="K42" s="200">
        <v>0.21299999999999999</v>
      </c>
      <c r="L42" s="200">
        <v>0.20499999999999999</v>
      </c>
      <c r="M42" s="201">
        <v>0.19900000000000001</v>
      </c>
      <c r="O42" s="275" t="s">
        <v>446</v>
      </c>
    </row>
    <row r="43" spans="2:15" outlineLevel="1">
      <c r="O43" s="275"/>
    </row>
    <row r="44" spans="2:15" outlineLevel="1">
      <c r="O44" s="275"/>
    </row>
    <row r="45" spans="2:15" outlineLevel="1">
      <c r="B45" s="72" t="s">
        <v>11</v>
      </c>
      <c r="I45" s="219">
        <f>INDEX(I47:I49,$D$6)</f>
        <v>1.4E-3</v>
      </c>
      <c r="J45" s="220">
        <f>INDEX(J47:J49,$D$6)</f>
        <v>1.4E-3</v>
      </c>
      <c r="K45" s="220">
        <f>INDEX(K47:K49,$D$6)</f>
        <v>1.2999999999999999E-3</v>
      </c>
      <c r="L45" s="220">
        <f>INDEX(L47:L49,$D$6)</f>
        <v>1.4E-3</v>
      </c>
      <c r="M45" s="221">
        <f>INDEX(M47:M49,$D$6)</f>
        <v>1.4E-3</v>
      </c>
      <c r="O45" s="275"/>
    </row>
    <row r="46" spans="2:15" outlineLevel="1">
      <c r="O46" s="275"/>
    </row>
    <row r="47" spans="2:15" outlineLevel="1">
      <c r="B47" s="1" t="s">
        <v>4</v>
      </c>
      <c r="I47" s="193">
        <v>1.6000000000000001E-3</v>
      </c>
      <c r="J47" s="194">
        <v>1.6999999999999999E-3</v>
      </c>
      <c r="K47" s="194">
        <v>1.6999999999999999E-3</v>
      </c>
      <c r="L47" s="194">
        <v>1.8E-3</v>
      </c>
      <c r="M47" s="195">
        <v>1.8E-3</v>
      </c>
      <c r="O47" s="275" t="s">
        <v>447</v>
      </c>
    </row>
    <row r="48" spans="2:15" outlineLevel="1">
      <c r="B48" s="1" t="s">
        <v>5</v>
      </c>
      <c r="I48" s="196">
        <v>1.4E-3</v>
      </c>
      <c r="J48" s="197">
        <v>1.4E-3</v>
      </c>
      <c r="K48" s="197">
        <v>1.2999999999999999E-3</v>
      </c>
      <c r="L48" s="197">
        <v>1.4E-3</v>
      </c>
      <c r="M48" s="198">
        <v>1.4E-3</v>
      </c>
      <c r="O48" s="275" t="s">
        <v>448</v>
      </c>
    </row>
    <row r="49" spans="2:15" outlineLevel="1">
      <c r="B49" s="1" t="s">
        <v>6</v>
      </c>
      <c r="I49" s="199">
        <v>8.0000000000000004E-4</v>
      </c>
      <c r="J49" s="200">
        <v>5.9999999999999995E-4</v>
      </c>
      <c r="K49" s="200">
        <v>5.0000000000000001E-4</v>
      </c>
      <c r="L49" s="200">
        <v>6.9999999999999999E-4</v>
      </c>
      <c r="M49" s="201">
        <v>8.9999999999999998E-4</v>
      </c>
      <c r="O49" s="275" t="s">
        <v>449</v>
      </c>
    </row>
    <row r="50" spans="2:15" outlineLevel="1">
      <c r="O50" s="275"/>
    </row>
    <row r="51" spans="2:15" outlineLevel="1">
      <c r="O51" s="275"/>
    </row>
    <row r="52" spans="2:15" outlineLevel="1">
      <c r="B52" s="72" t="s">
        <v>12</v>
      </c>
      <c r="I52" s="219">
        <f>INDEX(I54:I56,$D$6)</f>
        <v>2.4E-2</v>
      </c>
      <c r="J52" s="220">
        <f>INDEX(J54:J56,$D$6)</f>
        <v>1.9E-2</v>
      </c>
      <c r="K52" s="220">
        <f>INDEX(K54:K56,$D$6)</f>
        <v>1.4999999999999999E-2</v>
      </c>
      <c r="L52" s="220">
        <f>INDEX(L54:L56,$D$6)</f>
        <v>1.15E-2</v>
      </c>
      <c r="M52" s="221">
        <f>INDEX(M54:M56,$D$6)</f>
        <v>9.4999999999999998E-3</v>
      </c>
      <c r="O52" s="275"/>
    </row>
    <row r="53" spans="2:15" outlineLevel="1">
      <c r="O53" s="275"/>
    </row>
    <row r="54" spans="2:15" outlineLevel="1">
      <c r="B54" s="1" t="s">
        <v>4</v>
      </c>
      <c r="I54" s="193">
        <v>2.1999999999999999E-2</v>
      </c>
      <c r="J54" s="194">
        <v>1.7000000000000001E-2</v>
      </c>
      <c r="K54" s="194">
        <v>1.2999999999999999E-2</v>
      </c>
      <c r="L54" s="194">
        <v>0.01</v>
      </c>
      <c r="M54" s="195">
        <v>8.5000000000000006E-3</v>
      </c>
      <c r="O54" s="275" t="s">
        <v>493</v>
      </c>
    </row>
    <row r="55" spans="2:15" outlineLevel="1">
      <c r="B55" s="1" t="s">
        <v>5</v>
      </c>
      <c r="I55" s="196">
        <v>2.4E-2</v>
      </c>
      <c r="J55" s="197">
        <v>1.9E-2</v>
      </c>
      <c r="K55" s="197">
        <v>1.4999999999999999E-2</v>
      </c>
      <c r="L55" s="197">
        <v>1.15E-2</v>
      </c>
      <c r="M55" s="198">
        <v>9.4999999999999998E-3</v>
      </c>
      <c r="O55" s="275" t="s">
        <v>494</v>
      </c>
    </row>
    <row r="56" spans="2:15" outlineLevel="1">
      <c r="B56" s="1" t="s">
        <v>6</v>
      </c>
      <c r="I56" s="199">
        <v>2.7E-2</v>
      </c>
      <c r="J56" s="200">
        <v>2.5000000000000001E-2</v>
      </c>
      <c r="K56" s="200">
        <v>3.4000000000000002E-2</v>
      </c>
      <c r="L56" s="200">
        <v>2.1000000000000001E-2</v>
      </c>
      <c r="M56" s="201">
        <v>1.6E-2</v>
      </c>
      <c r="O56" s="275" t="s">
        <v>450</v>
      </c>
    </row>
    <row r="57" spans="2:15" outlineLevel="1">
      <c r="O57" s="275"/>
    </row>
    <row r="58" spans="2:15" outlineLevel="1">
      <c r="O58" s="275"/>
    </row>
    <row r="59" spans="2:15" outlineLevel="1">
      <c r="B59" s="72" t="s">
        <v>13</v>
      </c>
      <c r="I59" s="219">
        <f>INDEX(I61:I63,$D$6)</f>
        <v>3.0000000000000001E-3</v>
      </c>
      <c r="J59" s="220">
        <f>INDEX(J61:J63,$D$6)</f>
        <v>2.8E-3</v>
      </c>
      <c r="K59" s="220">
        <f>INDEX(K61:K63,$D$6)</f>
        <v>2.7000000000000001E-3</v>
      </c>
      <c r="L59" s="220">
        <f>INDEX(L61:L63,$D$6)</f>
        <v>2.8E-3</v>
      </c>
      <c r="M59" s="221">
        <f>INDEX(M61:M63,$D$6)</f>
        <v>2.8E-3</v>
      </c>
      <c r="O59" s="275"/>
    </row>
    <row r="60" spans="2:15" outlineLevel="1">
      <c r="O60" s="275"/>
    </row>
    <row r="61" spans="2:15" outlineLevel="1">
      <c r="B61" s="1" t="s">
        <v>4</v>
      </c>
      <c r="I61" s="193">
        <v>3.5000000000000001E-3</v>
      </c>
      <c r="J61" s="194">
        <v>3.5000000000000001E-3</v>
      </c>
      <c r="K61" s="194">
        <v>3.5000000000000001E-3</v>
      </c>
      <c r="L61" s="194">
        <v>3.3999999999999998E-3</v>
      </c>
      <c r="M61" s="195">
        <v>3.3999999999999998E-3</v>
      </c>
      <c r="O61" s="275" t="s">
        <v>451</v>
      </c>
    </row>
    <row r="62" spans="2:15" outlineLevel="1">
      <c r="B62" s="1" t="s">
        <v>5</v>
      </c>
      <c r="I62" s="196">
        <v>3.0000000000000001E-3</v>
      </c>
      <c r="J62" s="197">
        <v>2.8E-3</v>
      </c>
      <c r="K62" s="197">
        <v>2.7000000000000001E-3</v>
      </c>
      <c r="L62" s="197">
        <v>2.8E-3</v>
      </c>
      <c r="M62" s="198">
        <v>2.8E-3</v>
      </c>
      <c r="O62" s="275" t="s">
        <v>495</v>
      </c>
    </row>
    <row r="63" spans="2:15" outlineLevel="1">
      <c r="B63" s="1" t="s">
        <v>6</v>
      </c>
      <c r="I63" s="199">
        <v>1.5E-3</v>
      </c>
      <c r="J63" s="200">
        <v>1.1999999999999999E-3</v>
      </c>
      <c r="K63" s="200">
        <v>1E-3</v>
      </c>
      <c r="L63" s="200">
        <v>1.1999999999999999E-3</v>
      </c>
      <c r="M63" s="201">
        <v>1.5E-3</v>
      </c>
      <c r="O63" s="275" t="s">
        <v>452</v>
      </c>
    </row>
    <row r="64" spans="2:15" outlineLevel="1">
      <c r="O64" s="275"/>
    </row>
    <row r="65" spans="2:15" outlineLevel="1">
      <c r="O65" s="275"/>
    </row>
    <row r="66" spans="2:15" outlineLevel="1">
      <c r="B66" s="72" t="s">
        <v>14</v>
      </c>
      <c r="I66" s="219">
        <f>INDEX(I68:I70,$D$6)</f>
        <v>6.0000000000000001E-3</v>
      </c>
      <c r="J66" s="220">
        <f>INDEX(J68:J70,$D$6)</f>
        <v>5.4999999999999997E-3</v>
      </c>
      <c r="K66" s="220">
        <f>INDEX(K68:K70,$D$6)</f>
        <v>5.1999999999999998E-3</v>
      </c>
      <c r="L66" s="220">
        <f>INDEX(L68:L70,$D$6)</f>
        <v>5.0000000000000001E-3</v>
      </c>
      <c r="M66" s="221">
        <f>INDEX(M68:M70,$D$6)</f>
        <v>4.7999999999999996E-3</v>
      </c>
      <c r="O66" s="275"/>
    </row>
    <row r="67" spans="2:15" outlineLevel="1">
      <c r="O67" s="275"/>
    </row>
    <row r="68" spans="2:15" outlineLevel="1">
      <c r="B68" s="1" t="s">
        <v>4</v>
      </c>
      <c r="I68" s="193">
        <v>5.0000000000000001E-3</v>
      </c>
      <c r="J68" s="194">
        <v>4.4999999999999997E-3</v>
      </c>
      <c r="K68" s="194">
        <v>4.1999999999999997E-3</v>
      </c>
      <c r="L68" s="194">
        <v>4.0000000000000001E-3</v>
      </c>
      <c r="M68" s="195">
        <v>3.8E-3</v>
      </c>
      <c r="O68" s="275" t="s">
        <v>453</v>
      </c>
    </row>
    <row r="69" spans="2:15" outlineLevel="1">
      <c r="B69" s="1" t="s">
        <v>5</v>
      </c>
      <c r="I69" s="196">
        <v>6.0000000000000001E-3</v>
      </c>
      <c r="J69" s="197">
        <v>5.4999999999999997E-3</v>
      </c>
      <c r="K69" s="197">
        <v>5.1999999999999998E-3</v>
      </c>
      <c r="L69" s="197">
        <v>5.0000000000000001E-3</v>
      </c>
      <c r="M69" s="198">
        <v>4.7999999999999996E-3</v>
      </c>
      <c r="O69" s="275" t="s">
        <v>496</v>
      </c>
    </row>
    <row r="70" spans="2:15" outlineLevel="1">
      <c r="B70" s="1" t="s">
        <v>6</v>
      </c>
      <c r="I70" s="199">
        <v>8.5000000000000006E-3</v>
      </c>
      <c r="J70" s="200">
        <v>0.01</v>
      </c>
      <c r="K70" s="200">
        <v>1.35E-2</v>
      </c>
      <c r="L70" s="200">
        <v>1.0500000000000001E-2</v>
      </c>
      <c r="M70" s="201">
        <v>8.5000000000000006E-3</v>
      </c>
      <c r="O70" s="275" t="s">
        <v>454</v>
      </c>
    </row>
    <row r="71" spans="2:15" outlineLevel="1">
      <c r="O71" s="275"/>
    </row>
    <row r="72" spans="2:15" outlineLevel="1">
      <c r="O72" s="275"/>
    </row>
    <row r="73" spans="2:15" outlineLevel="1">
      <c r="B73" s="72" t="s">
        <v>15</v>
      </c>
      <c r="I73" s="219">
        <f>INDEX(I75:I77,$D$6)</f>
        <v>0.03</v>
      </c>
      <c r="J73" s="220">
        <f>INDEX(J75:J77,$D$6)</f>
        <v>0.04</v>
      </c>
      <c r="K73" s="220">
        <f>INDEX(K75:K77,$D$6)</f>
        <v>0.04</v>
      </c>
      <c r="L73" s="220">
        <f>INDEX(L75:L77,$D$6)</f>
        <v>0.05</v>
      </c>
      <c r="M73" s="221">
        <f>INDEX(M75:M77,$D$6)</f>
        <v>0.05</v>
      </c>
      <c r="O73" s="275"/>
    </row>
    <row r="74" spans="2:15" outlineLevel="1">
      <c r="O74" s="275"/>
    </row>
    <row r="75" spans="2:15" outlineLevel="1">
      <c r="B75" s="1" t="s">
        <v>4</v>
      </c>
      <c r="I75" s="193">
        <v>0.06</v>
      </c>
      <c r="J75" s="194">
        <v>0.06</v>
      </c>
      <c r="K75" s="194">
        <v>7.0000000000000007E-2</v>
      </c>
      <c r="L75" s="194">
        <v>7.0000000000000007E-2</v>
      </c>
      <c r="M75" s="195">
        <v>7.0000000000000007E-2</v>
      </c>
      <c r="O75" s="275" t="s">
        <v>455</v>
      </c>
    </row>
    <row r="76" spans="2:15" outlineLevel="1">
      <c r="B76" s="1" t="s">
        <v>5</v>
      </c>
      <c r="I76" s="196">
        <v>0.03</v>
      </c>
      <c r="J76" s="197">
        <v>0.04</v>
      </c>
      <c r="K76" s="197">
        <v>0.04</v>
      </c>
      <c r="L76" s="197">
        <v>0.05</v>
      </c>
      <c r="M76" s="198">
        <v>0.05</v>
      </c>
      <c r="O76" s="275" t="s">
        <v>456</v>
      </c>
    </row>
    <row r="77" spans="2:15" outlineLevel="1">
      <c r="B77" s="1" t="s">
        <v>6</v>
      </c>
      <c r="I77" s="199">
        <v>-0.1</v>
      </c>
      <c r="J77" s="200">
        <v>-0.05</v>
      </c>
      <c r="K77" s="200">
        <v>-0.15</v>
      </c>
      <c r="L77" s="200">
        <v>-0.05</v>
      </c>
      <c r="M77" s="201">
        <v>0.03</v>
      </c>
      <c r="O77" s="275" t="s">
        <v>457</v>
      </c>
    </row>
    <row r="78" spans="2:15" outlineLevel="1">
      <c r="O78" s="275"/>
    </row>
    <row r="79" spans="2:15" outlineLevel="1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O79" s="275"/>
    </row>
    <row r="80" spans="2:15">
      <c r="O80" s="275"/>
    </row>
    <row r="81" spans="1:15">
      <c r="A81" s="181" t="s">
        <v>61</v>
      </c>
      <c r="B81" s="3" t="s">
        <v>16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O81" s="275"/>
    </row>
    <row r="82" spans="1:15" outlineLevel="1">
      <c r="O82" s="275"/>
    </row>
    <row r="83" spans="1:15" ht="17.399999999999999" outlineLevel="1" thickBot="1">
      <c r="B83" s="70" t="s">
        <v>415</v>
      </c>
      <c r="I83" s="71">
        <f>I$2</f>
        <v>2026</v>
      </c>
      <c r="J83" s="71">
        <f t="shared" ref="J83:M83" si="1">J$2</f>
        <v>2027</v>
      </c>
      <c r="K83" s="71">
        <f t="shared" si="1"/>
        <v>2028</v>
      </c>
      <c r="L83" s="71">
        <f t="shared" si="1"/>
        <v>2029</v>
      </c>
      <c r="M83" s="71">
        <f t="shared" si="1"/>
        <v>2030</v>
      </c>
      <c r="O83" s="275"/>
    </row>
    <row r="84" spans="1:15" ht="17.399999999999999" outlineLevel="1" thickTop="1">
      <c r="O84" s="275"/>
    </row>
    <row r="85" spans="1:15" outlineLevel="1">
      <c r="B85" s="72"/>
      <c r="O85" s="275"/>
    </row>
    <row r="86" spans="1:15" outlineLevel="1">
      <c r="B86" s="72" t="s">
        <v>17</v>
      </c>
      <c r="F86" s="69" t="s">
        <v>18</v>
      </c>
      <c r="I86" s="250">
        <f>INDEX(I88:I90,$D$6)</f>
        <v>43</v>
      </c>
      <c r="J86" s="251">
        <f>INDEX(J88:J90,$D$6)</f>
        <v>43</v>
      </c>
      <c r="K86" s="251">
        <f>INDEX(K88:K90,$D$6)</f>
        <v>42.5</v>
      </c>
      <c r="L86" s="251">
        <f>INDEX(L88:L90,$D$6)</f>
        <v>42</v>
      </c>
      <c r="M86" s="252">
        <f>INDEX(M88:M90,$D$6)</f>
        <v>42</v>
      </c>
      <c r="O86" s="275"/>
    </row>
    <row r="87" spans="1:15" outlineLevel="1">
      <c r="F87" s="69"/>
      <c r="O87" s="275"/>
    </row>
    <row r="88" spans="1:15" outlineLevel="1">
      <c r="B88" s="1" t="s">
        <v>4</v>
      </c>
      <c r="F88" s="69"/>
      <c r="I88" s="253">
        <v>42.5</v>
      </c>
      <c r="J88" s="254">
        <v>42</v>
      </c>
      <c r="K88" s="254">
        <v>41.5</v>
      </c>
      <c r="L88" s="254">
        <v>41</v>
      </c>
      <c r="M88" s="255">
        <v>40.5</v>
      </c>
      <c r="O88" s="275" t="s">
        <v>471</v>
      </c>
    </row>
    <row r="89" spans="1:15" outlineLevel="1">
      <c r="B89" s="1" t="s">
        <v>5</v>
      </c>
      <c r="F89" s="69"/>
      <c r="I89" s="256">
        <v>43</v>
      </c>
      <c r="J89" s="257">
        <v>43</v>
      </c>
      <c r="K89" s="257">
        <v>42.5</v>
      </c>
      <c r="L89" s="257">
        <v>42</v>
      </c>
      <c r="M89" s="258">
        <v>42</v>
      </c>
      <c r="O89" s="275" t="s">
        <v>497</v>
      </c>
    </row>
    <row r="90" spans="1:15" outlineLevel="1">
      <c r="B90" s="1" t="s">
        <v>6</v>
      </c>
      <c r="F90" s="69"/>
      <c r="I90" s="259">
        <v>45</v>
      </c>
      <c r="J90" s="260">
        <v>46</v>
      </c>
      <c r="K90" s="260">
        <v>48</v>
      </c>
      <c r="L90" s="260">
        <v>47</v>
      </c>
      <c r="M90" s="261">
        <v>46</v>
      </c>
      <c r="O90" s="275" t="s">
        <v>472</v>
      </c>
    </row>
    <row r="91" spans="1:15" outlineLevel="1">
      <c r="F91" s="69"/>
      <c r="O91" s="275"/>
    </row>
    <row r="92" spans="1:15" outlineLevel="1">
      <c r="F92" s="69"/>
      <c r="O92" s="275"/>
    </row>
    <row r="93" spans="1:15" outlineLevel="1">
      <c r="B93" s="72" t="s">
        <v>19</v>
      </c>
      <c r="F93" s="69" t="s">
        <v>18</v>
      </c>
      <c r="I93" s="250">
        <f>INDEX(I95:I97,$D$6)</f>
        <v>93</v>
      </c>
      <c r="J93" s="251">
        <f>INDEX(J95:J97,$D$6)</f>
        <v>91</v>
      </c>
      <c r="K93" s="251">
        <f>INDEX(K95:K97,$D$6)</f>
        <v>89</v>
      </c>
      <c r="L93" s="251">
        <f>INDEX(L95:L97,$D$6)</f>
        <v>88</v>
      </c>
      <c r="M93" s="252">
        <f>INDEX(M95:M97,$D$6)</f>
        <v>87</v>
      </c>
      <c r="O93" s="275"/>
    </row>
    <row r="94" spans="1:15" outlineLevel="1">
      <c r="F94" s="69"/>
      <c r="O94" s="275"/>
    </row>
    <row r="95" spans="1:15" outlineLevel="1">
      <c r="B95" s="1" t="s">
        <v>4</v>
      </c>
      <c r="F95" s="69"/>
      <c r="I95" s="202">
        <v>92</v>
      </c>
      <c r="J95" s="203">
        <v>88</v>
      </c>
      <c r="K95" s="203">
        <v>86</v>
      </c>
      <c r="L95" s="203">
        <v>85</v>
      </c>
      <c r="M95" s="204">
        <v>84</v>
      </c>
      <c r="O95" s="275" t="s">
        <v>473</v>
      </c>
    </row>
    <row r="96" spans="1:15" outlineLevel="1">
      <c r="B96" s="1" t="s">
        <v>5</v>
      </c>
      <c r="F96" s="69"/>
      <c r="I96" s="205">
        <v>93</v>
      </c>
      <c r="J96" s="206">
        <v>91</v>
      </c>
      <c r="K96" s="206">
        <v>89</v>
      </c>
      <c r="L96" s="206">
        <v>88</v>
      </c>
      <c r="M96" s="207">
        <v>87</v>
      </c>
      <c r="O96" s="275" t="s">
        <v>498</v>
      </c>
    </row>
    <row r="97" spans="1:15" outlineLevel="1">
      <c r="B97" s="1" t="s">
        <v>6</v>
      </c>
      <c r="F97" s="69"/>
      <c r="I97" s="208">
        <v>98</v>
      </c>
      <c r="J97" s="209">
        <v>100</v>
      </c>
      <c r="K97" s="209">
        <v>104</v>
      </c>
      <c r="L97" s="209">
        <v>100</v>
      </c>
      <c r="M97" s="210">
        <v>97</v>
      </c>
      <c r="O97" s="275" t="s">
        <v>474</v>
      </c>
    </row>
    <row r="98" spans="1:15" outlineLevel="1">
      <c r="F98" s="69"/>
      <c r="O98" s="275"/>
    </row>
    <row r="99" spans="1:15" outlineLevel="1">
      <c r="F99" s="69"/>
      <c r="O99" s="275"/>
    </row>
    <row r="100" spans="1:15" outlineLevel="1">
      <c r="B100" s="72" t="s">
        <v>20</v>
      </c>
      <c r="F100" s="69" t="s">
        <v>18</v>
      </c>
      <c r="I100" s="250">
        <f>INDEX(I102:I104,$D$6)</f>
        <v>150</v>
      </c>
      <c r="J100" s="251">
        <f>INDEX(J102:J104,$D$6)</f>
        <v>150</v>
      </c>
      <c r="K100" s="251">
        <f>INDEX(K102:K104,$D$6)</f>
        <v>150</v>
      </c>
      <c r="L100" s="251">
        <f>INDEX(L102:L104,$D$6)</f>
        <v>150</v>
      </c>
      <c r="M100" s="252">
        <f>INDEX(M102:M104,$D$6)</f>
        <v>150</v>
      </c>
      <c r="O100" s="275"/>
    </row>
    <row r="101" spans="1:15" outlineLevel="1">
      <c r="F101" s="69"/>
      <c r="O101" s="275"/>
    </row>
    <row r="102" spans="1:15" outlineLevel="1">
      <c r="B102" s="1" t="s">
        <v>4</v>
      </c>
      <c r="F102" s="69"/>
      <c r="I102" s="202">
        <v>152</v>
      </c>
      <c r="J102" s="203">
        <v>153</v>
      </c>
      <c r="K102" s="203">
        <v>154</v>
      </c>
      <c r="L102" s="203">
        <v>155</v>
      </c>
      <c r="M102" s="204">
        <v>155</v>
      </c>
      <c r="O102" s="275" t="s">
        <v>475</v>
      </c>
    </row>
    <row r="103" spans="1:15" outlineLevel="1">
      <c r="B103" s="1" t="s">
        <v>5</v>
      </c>
      <c r="F103" s="69"/>
      <c r="I103" s="205">
        <v>150</v>
      </c>
      <c r="J103" s="206">
        <v>150</v>
      </c>
      <c r="K103" s="206">
        <v>150</v>
      </c>
      <c r="L103" s="206">
        <v>150</v>
      </c>
      <c r="M103" s="207">
        <v>150</v>
      </c>
      <c r="O103" s="275" t="s">
        <v>499</v>
      </c>
    </row>
    <row r="104" spans="1:15" outlineLevel="1">
      <c r="B104" s="1" t="s">
        <v>6</v>
      </c>
      <c r="F104" s="69"/>
      <c r="I104" s="208">
        <v>148</v>
      </c>
      <c r="J104" s="209">
        <v>145</v>
      </c>
      <c r="K104" s="209">
        <v>140</v>
      </c>
      <c r="L104" s="209">
        <v>142</v>
      </c>
      <c r="M104" s="210">
        <v>144</v>
      </c>
      <c r="O104" s="275" t="s">
        <v>476</v>
      </c>
    </row>
    <row r="105" spans="1:15" outlineLevel="1">
      <c r="F105" s="69"/>
      <c r="O105" s="275"/>
    </row>
    <row r="106" spans="1:15" outlineLevel="1">
      <c r="F106" s="69"/>
      <c r="O106" s="275"/>
    </row>
    <row r="107" spans="1:15" outlineLevel="1">
      <c r="B107" s="1" t="s">
        <v>21</v>
      </c>
      <c r="F107" s="69" t="s">
        <v>18</v>
      </c>
      <c r="I107" s="202">
        <v>2</v>
      </c>
      <c r="J107" s="203">
        <v>2</v>
      </c>
      <c r="K107" s="203">
        <v>2</v>
      </c>
      <c r="L107" s="203">
        <v>2</v>
      </c>
      <c r="M107" s="204">
        <v>2</v>
      </c>
      <c r="O107" s="275" t="s">
        <v>521</v>
      </c>
    </row>
    <row r="108" spans="1:15" outlineLevel="1">
      <c r="B108" s="1" t="s">
        <v>22</v>
      </c>
      <c r="F108" s="69" t="s">
        <v>18</v>
      </c>
      <c r="I108" s="208">
        <v>40</v>
      </c>
      <c r="J108" s="209">
        <v>40</v>
      </c>
      <c r="K108" s="209">
        <v>40</v>
      </c>
      <c r="L108" s="209">
        <v>41</v>
      </c>
      <c r="M108" s="210">
        <v>41</v>
      </c>
      <c r="O108" s="275" t="s">
        <v>522</v>
      </c>
    </row>
    <row r="109" spans="1:15" outlineLevel="1">
      <c r="B109" s="73"/>
      <c r="C109" s="73"/>
      <c r="D109" s="73"/>
      <c r="E109" s="73"/>
      <c r="F109" s="179"/>
      <c r="G109" s="73"/>
      <c r="H109" s="73"/>
      <c r="I109" s="73"/>
      <c r="J109" s="73"/>
      <c r="K109" s="73"/>
      <c r="L109" s="73"/>
      <c r="M109" s="73"/>
      <c r="O109" s="275"/>
    </row>
    <row r="110" spans="1:15">
      <c r="F110" s="69"/>
      <c r="O110" s="275"/>
    </row>
    <row r="111" spans="1:15">
      <c r="A111" s="181" t="s">
        <v>61</v>
      </c>
      <c r="B111" s="3" t="s">
        <v>23</v>
      </c>
      <c r="C111" s="3"/>
      <c r="D111" s="3"/>
      <c r="E111" s="3"/>
      <c r="F111" s="180"/>
      <c r="G111" s="3"/>
      <c r="H111" s="3"/>
      <c r="I111" s="3"/>
      <c r="J111" s="3"/>
      <c r="K111" s="3"/>
      <c r="L111" s="3"/>
      <c r="M111" s="3"/>
      <c r="O111" s="275"/>
    </row>
    <row r="112" spans="1:15" outlineLevel="1">
      <c r="F112" s="69"/>
      <c r="O112" s="275"/>
    </row>
    <row r="113" spans="2:15" ht="17.399999999999999" outlineLevel="1" thickBot="1">
      <c r="B113" s="70" t="s">
        <v>415</v>
      </c>
      <c r="F113" s="69"/>
      <c r="I113" s="71">
        <f>I$2</f>
        <v>2026</v>
      </c>
      <c r="J113" s="71">
        <f t="shared" ref="J113:M113" si="2">J$2</f>
        <v>2027</v>
      </c>
      <c r="K113" s="71">
        <f t="shared" si="2"/>
        <v>2028</v>
      </c>
      <c r="L113" s="71">
        <f t="shared" si="2"/>
        <v>2029</v>
      </c>
      <c r="M113" s="71">
        <f t="shared" si="2"/>
        <v>2030</v>
      </c>
      <c r="O113" s="275"/>
    </row>
    <row r="114" spans="2:15" ht="17.399999999999999" outlineLevel="1" thickTop="1">
      <c r="F114" s="69"/>
      <c r="O114" s="275"/>
    </row>
    <row r="115" spans="2:15" outlineLevel="1">
      <c r="F115" s="69"/>
      <c r="O115" s="275"/>
    </row>
    <row r="116" spans="2:15" outlineLevel="1">
      <c r="B116" s="72" t="s">
        <v>24</v>
      </c>
      <c r="F116" s="69" t="s">
        <v>26</v>
      </c>
      <c r="I116" s="219">
        <f>INDEX(I118:I120,$D$6)</f>
        <v>4.9000000000000002E-2</v>
      </c>
      <c r="J116" s="220">
        <f>INDEX(J118:J120,$D$6)</f>
        <v>4.8000000000000001E-2</v>
      </c>
      <c r="K116" s="220">
        <f>INDEX(K118:K120,$D$6)</f>
        <v>4.8000000000000001E-2</v>
      </c>
      <c r="L116" s="220">
        <f>INDEX(L118:L120,$D$6)</f>
        <v>4.7E-2</v>
      </c>
      <c r="M116" s="221">
        <f>INDEX(M118:M120,$D$6)</f>
        <v>4.7E-2</v>
      </c>
      <c r="O116" s="275"/>
    </row>
    <row r="117" spans="2:15" outlineLevel="1">
      <c r="F117" s="69"/>
      <c r="O117" s="275"/>
    </row>
    <row r="118" spans="2:15" outlineLevel="1">
      <c r="B118" s="1" t="s">
        <v>4</v>
      </c>
      <c r="F118" s="69"/>
      <c r="I118" s="193">
        <v>4.5999999999999999E-2</v>
      </c>
      <c r="J118" s="194">
        <v>4.4999999999999998E-2</v>
      </c>
      <c r="K118" s="194">
        <v>4.3999999999999997E-2</v>
      </c>
      <c r="L118" s="194">
        <v>4.3999999999999997E-2</v>
      </c>
      <c r="M118" s="195">
        <v>4.3999999999999997E-2</v>
      </c>
      <c r="O118" s="275" t="s">
        <v>477</v>
      </c>
    </row>
    <row r="119" spans="2:15" outlineLevel="1">
      <c r="B119" s="1" t="s">
        <v>5</v>
      </c>
      <c r="F119" s="69"/>
      <c r="I119" s="196">
        <v>4.9000000000000002E-2</v>
      </c>
      <c r="J119" s="197">
        <v>4.8000000000000001E-2</v>
      </c>
      <c r="K119" s="197">
        <v>4.8000000000000001E-2</v>
      </c>
      <c r="L119" s="197">
        <v>4.7E-2</v>
      </c>
      <c r="M119" s="198">
        <v>4.7E-2</v>
      </c>
      <c r="O119" s="275" t="s">
        <v>500</v>
      </c>
    </row>
    <row r="120" spans="2:15" outlineLevel="1">
      <c r="B120" s="1" t="s">
        <v>6</v>
      </c>
      <c r="F120" s="69"/>
      <c r="I120" s="199">
        <v>0.05</v>
      </c>
      <c r="J120" s="200">
        <v>0.05</v>
      </c>
      <c r="K120" s="200">
        <v>5.2999999999999999E-2</v>
      </c>
      <c r="L120" s="200">
        <v>5.1999999999999998E-2</v>
      </c>
      <c r="M120" s="201">
        <v>0.05</v>
      </c>
      <c r="O120" s="275" t="s">
        <v>478</v>
      </c>
    </row>
    <row r="121" spans="2:15" outlineLevel="1">
      <c r="F121" s="69"/>
      <c r="O121" s="275"/>
    </row>
    <row r="122" spans="2:15" outlineLevel="1">
      <c r="F122" s="69"/>
      <c r="G122" s="69"/>
      <c r="H122" s="69"/>
      <c r="I122" s="69"/>
      <c r="J122" s="69"/>
      <c r="K122" s="69"/>
      <c r="L122" s="69"/>
      <c r="M122" s="69"/>
      <c r="O122" s="275"/>
    </row>
    <row r="123" spans="2:15" outlineLevel="1">
      <c r="B123" s="1" t="s">
        <v>27</v>
      </c>
      <c r="F123" s="69" t="s">
        <v>26</v>
      </c>
      <c r="I123" s="193">
        <v>4.0000000000000001E-3</v>
      </c>
      <c r="J123" s="194">
        <v>4.0000000000000001E-3</v>
      </c>
      <c r="K123" s="194">
        <v>4.0000000000000001E-3</v>
      </c>
      <c r="L123" s="194">
        <v>4.4999999999999997E-3</v>
      </c>
      <c r="M123" s="195">
        <v>4.4999999999999997E-3</v>
      </c>
      <c r="O123" s="275" t="s">
        <v>523</v>
      </c>
    </row>
    <row r="124" spans="2:15" outlineLevel="1">
      <c r="B124" s="1" t="s">
        <v>28</v>
      </c>
      <c r="F124" s="69" t="s">
        <v>29</v>
      </c>
      <c r="I124" s="196">
        <v>7.0000000000000007E-2</v>
      </c>
      <c r="J124" s="197">
        <v>6.9000000000000006E-2</v>
      </c>
      <c r="K124" s="197">
        <v>6.8000000000000005E-2</v>
      </c>
      <c r="L124" s="197">
        <v>6.7000000000000004E-2</v>
      </c>
      <c r="M124" s="198">
        <v>6.7000000000000004E-2</v>
      </c>
      <c r="O124" s="275" t="s">
        <v>524</v>
      </c>
    </row>
    <row r="125" spans="2:15" outlineLevel="1">
      <c r="B125" s="1" t="s">
        <v>30</v>
      </c>
      <c r="F125" s="69"/>
      <c r="I125" s="199">
        <v>0.85</v>
      </c>
      <c r="J125" s="200">
        <v>0.85</v>
      </c>
      <c r="K125" s="200">
        <v>0.85</v>
      </c>
      <c r="L125" s="200">
        <v>0.85</v>
      </c>
      <c r="M125" s="201">
        <v>0.85</v>
      </c>
      <c r="O125" s="275" t="s">
        <v>525</v>
      </c>
    </row>
    <row r="126" spans="2:15" outlineLevel="1">
      <c r="F126" s="69"/>
      <c r="G126" s="69"/>
      <c r="H126" s="69"/>
      <c r="O126" s="275"/>
    </row>
    <row r="127" spans="2:15" outlineLevel="1">
      <c r="B127" s="73"/>
      <c r="C127" s="73"/>
      <c r="D127" s="73"/>
      <c r="E127" s="73"/>
      <c r="F127" s="179"/>
      <c r="G127" s="73"/>
      <c r="H127" s="73"/>
      <c r="I127" s="73"/>
      <c r="J127" s="73"/>
      <c r="K127" s="73"/>
      <c r="L127" s="73"/>
      <c r="M127" s="73"/>
      <c r="O127" s="275"/>
    </row>
    <row r="128" spans="2:15">
      <c r="F128" s="69"/>
      <c r="O128" s="275"/>
    </row>
    <row r="129" spans="1:15">
      <c r="A129" s="181" t="s">
        <v>61</v>
      </c>
      <c r="B129" s="3" t="s">
        <v>31</v>
      </c>
      <c r="C129" s="3"/>
      <c r="D129" s="3"/>
      <c r="E129" s="3"/>
      <c r="F129" s="180"/>
      <c r="G129" s="3"/>
      <c r="H129" s="3"/>
      <c r="I129" s="3"/>
      <c r="J129" s="3"/>
      <c r="K129" s="3"/>
      <c r="L129" s="3"/>
      <c r="M129" s="3"/>
      <c r="O129" s="275"/>
    </row>
    <row r="130" spans="1:15" outlineLevel="1">
      <c r="F130" s="69"/>
      <c r="O130" s="275"/>
    </row>
    <row r="131" spans="1:15" ht="17.399999999999999" outlineLevel="1" thickBot="1">
      <c r="B131" s="70" t="s">
        <v>415</v>
      </c>
      <c r="F131" s="69"/>
      <c r="I131" s="71">
        <f>I$2</f>
        <v>2026</v>
      </c>
      <c r="J131" s="71">
        <f t="shared" ref="J131:M131" si="3">J$2</f>
        <v>2027</v>
      </c>
      <c r="K131" s="71">
        <f t="shared" si="3"/>
        <v>2028</v>
      </c>
      <c r="L131" s="71">
        <f t="shared" si="3"/>
        <v>2029</v>
      </c>
      <c r="M131" s="71">
        <f t="shared" si="3"/>
        <v>2030</v>
      </c>
      <c r="O131" s="275"/>
    </row>
    <row r="132" spans="1:15" ht="17.399999999999999" outlineLevel="1" thickTop="1">
      <c r="F132" s="69"/>
      <c r="O132" s="275"/>
    </row>
    <row r="133" spans="1:15" outlineLevel="1">
      <c r="F133" s="69"/>
      <c r="O133" s="275"/>
    </row>
    <row r="134" spans="1:15" outlineLevel="1">
      <c r="B134" s="72" t="s">
        <v>33</v>
      </c>
      <c r="F134" s="69" t="s">
        <v>34</v>
      </c>
      <c r="I134" s="219">
        <f>INDEX(I136:I138,$D$6)</f>
        <v>0.86499999999999999</v>
      </c>
      <c r="J134" s="220">
        <f>INDEX(J136:J138,$D$6)</f>
        <v>0.84199999999999997</v>
      </c>
      <c r="K134" s="220">
        <f>INDEX(K136:K138,$D$6)</f>
        <v>0.85899999999999999</v>
      </c>
      <c r="L134" s="220">
        <f>INDEX(L136:L138,$D$6)</f>
        <v>0.82299999999999995</v>
      </c>
      <c r="M134" s="221">
        <f>INDEX(M136:M138,$D$6)</f>
        <v>0.79</v>
      </c>
      <c r="O134" s="275"/>
    </row>
    <row r="135" spans="1:15" outlineLevel="1">
      <c r="F135" s="69"/>
      <c r="O135" s="275"/>
    </row>
    <row r="136" spans="1:15" outlineLevel="1">
      <c r="B136" s="1" t="s">
        <v>4</v>
      </c>
      <c r="F136" s="69"/>
      <c r="I136" s="193">
        <v>0.80600000000000005</v>
      </c>
      <c r="J136" s="194">
        <v>0.751</v>
      </c>
      <c r="K136" s="194">
        <v>0.69699999999999995</v>
      </c>
      <c r="L136" s="194">
        <v>0.64700000000000002</v>
      </c>
      <c r="M136" s="195">
        <v>0.60199999999999998</v>
      </c>
      <c r="O136" s="275" t="s">
        <v>479</v>
      </c>
    </row>
    <row r="137" spans="1:15" outlineLevel="1">
      <c r="B137" s="1" t="s">
        <v>5</v>
      </c>
      <c r="F137" s="69"/>
      <c r="I137" s="196">
        <v>0.86499999999999999</v>
      </c>
      <c r="J137" s="197">
        <v>0.84199999999999997</v>
      </c>
      <c r="K137" s="197">
        <v>0.85899999999999999</v>
      </c>
      <c r="L137" s="197">
        <v>0.82299999999999995</v>
      </c>
      <c r="M137" s="198">
        <v>0.79</v>
      </c>
      <c r="O137" s="275" t="s">
        <v>501</v>
      </c>
    </row>
    <row r="138" spans="1:15" outlineLevel="1">
      <c r="B138" s="1" t="s">
        <v>6</v>
      </c>
      <c r="F138" s="69"/>
      <c r="I138" s="199">
        <v>0.98199999999999998</v>
      </c>
      <c r="J138" s="200">
        <v>0.7</v>
      </c>
      <c r="K138" s="200">
        <v>0.7</v>
      </c>
      <c r="L138" s="200">
        <v>0.7</v>
      </c>
      <c r="M138" s="201">
        <v>0.7</v>
      </c>
      <c r="O138" s="275" t="s">
        <v>502</v>
      </c>
    </row>
    <row r="139" spans="1:15" outlineLevel="1">
      <c r="F139" s="69"/>
      <c r="O139" s="275"/>
    </row>
    <row r="140" spans="1:15" outlineLevel="1">
      <c r="F140" s="69"/>
      <c r="G140" s="69"/>
      <c r="H140" s="69"/>
      <c r="I140" s="69"/>
      <c r="J140" s="69"/>
      <c r="K140" s="69"/>
      <c r="L140" s="69"/>
      <c r="M140" s="69"/>
      <c r="O140" s="275"/>
    </row>
    <row r="141" spans="1:15" outlineLevel="1">
      <c r="B141" s="72" t="s">
        <v>37</v>
      </c>
      <c r="F141" s="69"/>
      <c r="I141" s="250">
        <f>INDEX(I143:I145,$D$6)</f>
        <v>0</v>
      </c>
      <c r="J141" s="251">
        <f>INDEX(J143:J145,$D$6)</f>
        <v>0</v>
      </c>
      <c r="K141" s="251">
        <f>INDEX(K143:K145,$D$6)</f>
        <v>1000</v>
      </c>
      <c r="L141" s="251">
        <f>INDEX(L143:L145,$D$6)</f>
        <v>1500</v>
      </c>
      <c r="M141" s="252">
        <f>INDEX(M143:M145,$D$6)</f>
        <v>2000</v>
      </c>
      <c r="O141" s="275"/>
    </row>
    <row r="142" spans="1:15" outlineLevel="1">
      <c r="F142" s="69"/>
      <c r="O142" s="275"/>
    </row>
    <row r="143" spans="1:15" outlineLevel="1">
      <c r="B143" s="1" t="s">
        <v>4</v>
      </c>
      <c r="F143" s="69"/>
      <c r="I143" s="262">
        <v>0</v>
      </c>
      <c r="J143" s="263">
        <v>1000</v>
      </c>
      <c r="K143" s="263">
        <v>2500</v>
      </c>
      <c r="L143" s="263">
        <v>3500</v>
      </c>
      <c r="M143" s="264">
        <v>4000</v>
      </c>
      <c r="O143" s="275" t="s">
        <v>503</v>
      </c>
    </row>
    <row r="144" spans="1:15" outlineLevel="1">
      <c r="B144" s="1" t="s">
        <v>5</v>
      </c>
      <c r="F144" s="69"/>
      <c r="I144" s="265">
        <v>0</v>
      </c>
      <c r="J144" s="211">
        <v>0</v>
      </c>
      <c r="K144" s="211">
        <v>1000</v>
      </c>
      <c r="L144" s="211">
        <v>1500</v>
      </c>
      <c r="M144" s="266">
        <v>2000</v>
      </c>
      <c r="O144" s="275" t="s">
        <v>504</v>
      </c>
    </row>
    <row r="145" spans="1:15" outlineLevel="1">
      <c r="B145" s="1" t="s">
        <v>6</v>
      </c>
      <c r="F145" s="69"/>
      <c r="I145" s="267">
        <v>0</v>
      </c>
      <c r="J145" s="268">
        <v>0</v>
      </c>
      <c r="K145" s="268">
        <v>0</v>
      </c>
      <c r="L145" s="268">
        <v>0</v>
      </c>
      <c r="M145" s="269">
        <v>0</v>
      </c>
      <c r="O145" s="275" t="s">
        <v>480</v>
      </c>
    </row>
    <row r="146" spans="1:15" outlineLevel="1">
      <c r="F146" s="69"/>
      <c r="O146" s="275"/>
    </row>
    <row r="147" spans="1:15" outlineLevel="1">
      <c r="F147" s="69"/>
      <c r="G147" s="69"/>
      <c r="H147" s="69"/>
      <c r="I147" s="69"/>
      <c r="J147" s="69"/>
      <c r="K147" s="69"/>
      <c r="L147" s="69"/>
      <c r="M147" s="69"/>
      <c r="O147" s="275"/>
    </row>
    <row r="148" spans="1:15" outlineLevel="1">
      <c r="B148" s="72" t="s">
        <v>38</v>
      </c>
      <c r="F148" s="69" t="s">
        <v>29</v>
      </c>
      <c r="I148" s="219">
        <f>INDEX(I150:I152,$D$6)</f>
        <v>6.5000000000000002E-2</v>
      </c>
      <c r="J148" s="220">
        <f>INDEX(J150:J152,$D$6)</f>
        <v>0.06</v>
      </c>
      <c r="K148" s="220">
        <f>INDEX(K150:K152,$D$6)</f>
        <v>0.06</v>
      </c>
      <c r="L148" s="220">
        <f>INDEX(L150:L152,$D$6)</f>
        <v>0.06</v>
      </c>
      <c r="M148" s="221">
        <f>INDEX(M150:M152,$D$6)</f>
        <v>0.06</v>
      </c>
      <c r="O148" s="275"/>
    </row>
    <row r="149" spans="1:15" outlineLevel="1">
      <c r="F149" s="69"/>
      <c r="O149" s="275"/>
    </row>
    <row r="150" spans="1:15" outlineLevel="1">
      <c r="B150" s="1" t="s">
        <v>4</v>
      </c>
      <c r="F150" s="69"/>
      <c r="I150" s="193">
        <v>6.5000000000000002E-2</v>
      </c>
      <c r="J150" s="194">
        <v>6.5000000000000002E-2</v>
      </c>
      <c r="K150" s="194">
        <v>6.5000000000000002E-2</v>
      </c>
      <c r="L150" s="194">
        <v>6.5000000000000002E-2</v>
      </c>
      <c r="M150" s="195">
        <v>6.5000000000000002E-2</v>
      </c>
      <c r="O150" s="275" t="s">
        <v>481</v>
      </c>
    </row>
    <row r="151" spans="1:15" outlineLevel="1">
      <c r="B151" s="1" t="s">
        <v>5</v>
      </c>
      <c r="F151" s="69"/>
      <c r="I151" s="196">
        <v>6.5000000000000002E-2</v>
      </c>
      <c r="J151" s="197">
        <v>0.06</v>
      </c>
      <c r="K151" s="197">
        <v>0.06</v>
      </c>
      <c r="L151" s="197">
        <v>0.06</v>
      </c>
      <c r="M151" s="198">
        <v>0.06</v>
      </c>
      <c r="O151" s="275" t="s">
        <v>482</v>
      </c>
    </row>
    <row r="152" spans="1:15" outlineLevel="1">
      <c r="B152" s="1" t="s">
        <v>6</v>
      </c>
      <c r="F152" s="69"/>
      <c r="I152" s="199">
        <v>0.06</v>
      </c>
      <c r="J152" s="200">
        <v>0.05</v>
      </c>
      <c r="K152" s="200">
        <v>4.4999999999999998E-2</v>
      </c>
      <c r="L152" s="200">
        <v>4.4999999999999998E-2</v>
      </c>
      <c r="M152" s="201">
        <v>0.05</v>
      </c>
      <c r="O152" s="275" t="s">
        <v>483</v>
      </c>
    </row>
    <row r="153" spans="1:15" outlineLevel="1">
      <c r="F153" s="69"/>
      <c r="O153" s="275"/>
    </row>
    <row r="154" spans="1:15" outlineLevel="1">
      <c r="F154" s="69"/>
      <c r="O154" s="275"/>
    </row>
    <row r="155" spans="1:15" outlineLevel="1">
      <c r="B155" s="1" t="s">
        <v>35</v>
      </c>
      <c r="F155" s="69" t="s">
        <v>36</v>
      </c>
      <c r="I155" s="270">
        <v>0.75</v>
      </c>
      <c r="J155" s="271">
        <v>0.75</v>
      </c>
      <c r="K155" s="271">
        <v>0.75</v>
      </c>
      <c r="L155" s="271">
        <v>0.75</v>
      </c>
      <c r="M155" s="272">
        <v>0.75</v>
      </c>
      <c r="O155" s="275" t="s">
        <v>526</v>
      </c>
    </row>
    <row r="156" spans="1:15" outlineLevel="1">
      <c r="F156" s="69"/>
      <c r="O156" s="275"/>
    </row>
    <row r="157" spans="1:15" outlineLevel="1">
      <c r="B157" s="73"/>
      <c r="C157" s="73"/>
      <c r="D157" s="73"/>
      <c r="E157" s="73"/>
      <c r="F157" s="179"/>
      <c r="G157" s="73"/>
      <c r="H157" s="73"/>
      <c r="I157" s="73"/>
      <c r="J157" s="73"/>
      <c r="K157" s="73"/>
      <c r="L157" s="73"/>
      <c r="M157" s="73"/>
      <c r="O157" s="275"/>
    </row>
    <row r="158" spans="1:15">
      <c r="F158" s="69"/>
      <c r="O158" s="275"/>
    </row>
    <row r="159" spans="1:15">
      <c r="A159" s="181" t="s">
        <v>61</v>
      </c>
      <c r="B159" s="3" t="s">
        <v>39</v>
      </c>
      <c r="C159" s="3"/>
      <c r="D159" s="3"/>
      <c r="E159" s="3"/>
      <c r="F159" s="180"/>
      <c r="G159" s="3"/>
      <c r="H159" s="3"/>
      <c r="I159" s="3"/>
      <c r="J159" s="3"/>
      <c r="K159" s="3"/>
      <c r="L159" s="3"/>
      <c r="M159" s="3"/>
      <c r="O159" s="275"/>
    </row>
    <row r="160" spans="1:15" outlineLevel="1">
      <c r="F160" s="69"/>
      <c r="O160" s="275"/>
    </row>
    <row r="161" spans="2:15" ht="17.399999999999999" outlineLevel="1" thickBot="1">
      <c r="B161" s="70" t="s">
        <v>415</v>
      </c>
      <c r="F161" s="69"/>
      <c r="I161" s="71">
        <f>I$2</f>
        <v>2026</v>
      </c>
      <c r="J161" s="71">
        <f t="shared" ref="J161:M161" si="4">J$2</f>
        <v>2027</v>
      </c>
      <c r="K161" s="71">
        <f t="shared" si="4"/>
        <v>2028</v>
      </c>
      <c r="L161" s="71">
        <f t="shared" si="4"/>
        <v>2029</v>
      </c>
      <c r="M161" s="71">
        <f t="shared" si="4"/>
        <v>2030</v>
      </c>
      <c r="O161" s="275"/>
    </row>
    <row r="162" spans="2:15" ht="17.399999999999999" outlineLevel="1" thickTop="1">
      <c r="F162" s="69"/>
      <c r="O162" s="275"/>
    </row>
    <row r="163" spans="2:15" outlineLevel="1">
      <c r="F163" s="69"/>
      <c r="O163" s="275"/>
    </row>
    <row r="164" spans="2:15" outlineLevel="1">
      <c r="B164" s="72" t="s">
        <v>40</v>
      </c>
      <c r="F164" s="69"/>
      <c r="O164" s="275"/>
    </row>
    <row r="165" spans="2:15" outlineLevel="1">
      <c r="F165" s="69"/>
      <c r="O165" s="275"/>
    </row>
    <row r="166" spans="2:15" outlineLevel="1">
      <c r="B166" s="1" t="s">
        <v>41</v>
      </c>
      <c r="F166" s="69" t="s">
        <v>42</v>
      </c>
      <c r="I166" s="193">
        <v>-0.02</v>
      </c>
      <c r="J166" s="194">
        <v>-0.01</v>
      </c>
      <c r="K166" s="194">
        <v>0</v>
      </c>
      <c r="L166" s="194">
        <v>0.01</v>
      </c>
      <c r="M166" s="195">
        <v>0.01</v>
      </c>
      <c r="O166" s="275" t="s">
        <v>505</v>
      </c>
    </row>
    <row r="167" spans="2:15" outlineLevel="1">
      <c r="B167" s="1" t="s">
        <v>43</v>
      </c>
      <c r="F167" s="69" t="s">
        <v>44</v>
      </c>
      <c r="I167" s="196">
        <v>0.2</v>
      </c>
      <c r="J167" s="197">
        <v>0.2</v>
      </c>
      <c r="K167" s="197">
        <v>0.2</v>
      </c>
      <c r="L167" s="197">
        <v>0.2</v>
      </c>
      <c r="M167" s="198">
        <v>0.2</v>
      </c>
      <c r="O167" s="276" t="s">
        <v>506</v>
      </c>
    </row>
    <row r="168" spans="2:15" outlineLevel="1">
      <c r="B168" s="218" t="s">
        <v>507</v>
      </c>
      <c r="C168" s="218"/>
      <c r="D168" s="218"/>
      <c r="E168" s="218"/>
      <c r="F168" s="275" t="s">
        <v>508</v>
      </c>
      <c r="I168" s="199">
        <v>0.35</v>
      </c>
      <c r="J168" s="200">
        <v>0.35</v>
      </c>
      <c r="K168" s="200">
        <v>0.35</v>
      </c>
      <c r="L168" s="200">
        <v>0.35</v>
      </c>
      <c r="M168" s="201">
        <v>0.35</v>
      </c>
      <c r="O168" s="276" t="s">
        <v>509</v>
      </c>
    </row>
    <row r="169" spans="2:15" outlineLevel="1">
      <c r="O169" s="275"/>
    </row>
    <row r="170" spans="2:15" outlineLevel="1">
      <c r="O170" s="275"/>
    </row>
    <row r="171" spans="2:15" outlineLevel="1">
      <c r="O171" s="275"/>
    </row>
    <row r="172" spans="2:15" ht="17.399999999999999" outlineLevel="1" thickBot="1">
      <c r="C172" s="77" t="s">
        <v>45</v>
      </c>
      <c r="D172" s="78"/>
      <c r="E172" s="78"/>
      <c r="F172" s="78"/>
      <c r="I172" s="77" t="s">
        <v>46</v>
      </c>
      <c r="J172" s="78"/>
      <c r="K172" s="78"/>
      <c r="L172" s="78"/>
      <c r="M172" s="77"/>
      <c r="O172" s="275"/>
    </row>
    <row r="173" spans="2:15" ht="17.399999999999999" outlineLevel="1" thickTop="1">
      <c r="C173" s="1" t="s">
        <v>47</v>
      </c>
      <c r="E173" s="79" t="s">
        <v>48</v>
      </c>
      <c r="F173" s="212">
        <v>2026</v>
      </c>
      <c r="I173" s="1" t="s">
        <v>49</v>
      </c>
      <c r="M173" s="213">
        <v>0.23499999999999999</v>
      </c>
      <c r="O173" s="275" t="s">
        <v>510</v>
      </c>
    </row>
    <row r="174" spans="2:15" outlineLevel="1">
      <c r="C174" s="1" t="s">
        <v>50</v>
      </c>
      <c r="E174" s="69" t="s">
        <v>18</v>
      </c>
      <c r="F174" s="212">
        <v>365</v>
      </c>
      <c r="I174" s="1" t="s">
        <v>51</v>
      </c>
      <c r="M174" s="213">
        <v>0.15</v>
      </c>
      <c r="O174" s="275" t="s">
        <v>511</v>
      </c>
    </row>
    <row r="175" spans="2:15" outlineLevel="1">
      <c r="I175" s="1" t="s">
        <v>52</v>
      </c>
      <c r="M175" s="213">
        <v>0.08</v>
      </c>
      <c r="O175" s="275" t="s">
        <v>458</v>
      </c>
    </row>
    <row r="176" spans="2:15" outlineLevel="1">
      <c r="I176" s="1" t="s">
        <v>53</v>
      </c>
      <c r="M176" s="214">
        <v>49222</v>
      </c>
      <c r="O176" s="275" t="s">
        <v>459</v>
      </c>
    </row>
    <row r="177" spans="1:15" outlineLevel="1">
      <c r="I177" s="1" t="s">
        <v>54</v>
      </c>
      <c r="M177" s="214">
        <v>0</v>
      </c>
      <c r="O177" s="275" t="s">
        <v>460</v>
      </c>
    </row>
    <row r="178" spans="1:15" outlineLevel="1">
      <c r="O178" s="275"/>
    </row>
    <row r="179" spans="1:15" outlineLevel="1">
      <c r="O179" s="275"/>
    </row>
    <row r="180" spans="1:15" ht="17.399999999999999" outlineLevel="1" thickBot="1">
      <c r="C180" s="77" t="s">
        <v>55</v>
      </c>
      <c r="D180" s="78"/>
      <c r="E180" s="78"/>
      <c r="F180" s="78"/>
      <c r="I180" s="77" t="s">
        <v>56</v>
      </c>
      <c r="J180" s="78"/>
      <c r="K180" s="78"/>
      <c r="L180" s="78"/>
      <c r="M180" s="77"/>
      <c r="O180" s="275"/>
    </row>
    <row r="181" spans="1:15" ht="17.399999999999999" outlineLevel="1" thickTop="1">
      <c r="F181" s="80"/>
      <c r="I181" s="1" t="s">
        <v>57</v>
      </c>
      <c r="M181" s="213">
        <v>2.5000000000000001E-2</v>
      </c>
      <c r="O181" s="275" t="s">
        <v>512</v>
      </c>
    </row>
    <row r="182" spans="1:15" outlineLevel="1">
      <c r="C182" s="1" t="s">
        <v>58</v>
      </c>
      <c r="F182" s="213">
        <v>2.5000000000000001E-2</v>
      </c>
      <c r="I182" s="1" t="s">
        <v>41</v>
      </c>
      <c r="M182" s="213">
        <v>2.9000000000000001E-2</v>
      </c>
      <c r="O182" s="275" t="s">
        <v>513</v>
      </c>
    </row>
    <row r="183" spans="1:15" outlineLevel="1">
      <c r="C183" s="1" t="s">
        <v>59</v>
      </c>
      <c r="F183" s="213">
        <v>1.7999999999999999E-2</v>
      </c>
      <c r="I183" s="1" t="s">
        <v>60</v>
      </c>
      <c r="M183" s="213">
        <v>4.2000000000000003E-2</v>
      </c>
      <c r="O183" s="275" t="s">
        <v>514</v>
      </c>
    </row>
    <row r="184" spans="1:15" outlineLevel="1">
      <c r="C184" s="245" t="s">
        <v>461</v>
      </c>
      <c r="D184" s="245"/>
      <c r="E184" s="245"/>
      <c r="F184" s="211">
        <v>3000</v>
      </c>
      <c r="O184" s="275" t="s">
        <v>462</v>
      </c>
    </row>
    <row r="185" spans="1:15" outlineLevel="1">
      <c r="A185" s="181" t="s">
        <v>61</v>
      </c>
      <c r="C185" s="245" t="s">
        <v>463</v>
      </c>
      <c r="D185" s="245"/>
      <c r="E185" s="245"/>
      <c r="F185" s="246">
        <v>3</v>
      </c>
      <c r="O185" s="275" t="s">
        <v>464</v>
      </c>
    </row>
    <row r="186" spans="1:15" outlineLevel="1">
      <c r="C186" s="1" t="s">
        <v>465</v>
      </c>
      <c r="F186" s="213">
        <v>1</v>
      </c>
      <c r="O186" s="275" t="s">
        <v>515</v>
      </c>
    </row>
    <row r="187" spans="1:15" outlineLevel="1">
      <c r="O187" s="275"/>
    </row>
    <row r="188" spans="1:15" outlineLevel="1"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O188" s="275"/>
    </row>
    <row r="189" spans="1:15">
      <c r="O189" s="275"/>
    </row>
    <row r="190" spans="1:15">
      <c r="O190" s="275"/>
    </row>
    <row r="191" spans="1:15">
      <c r="O191" s="275"/>
    </row>
  </sheetData>
  <sheetProtection selectLockedCells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2D27-9502-4B60-9202-F494B4B3BF68}">
  <dimension ref="A1:N404"/>
  <sheetViews>
    <sheetView showGridLines="0" zoomScale="85" zoomScaleNormal="85" workbookViewId="0">
      <pane ySplit="2" topLeftCell="A381" activePane="bottomLeft" state="frozen"/>
      <selection pane="bottomLeft" activeCell="C407" sqref="C407"/>
    </sheetView>
  </sheetViews>
  <sheetFormatPr defaultRowHeight="16.8" outlineLevelRow="1"/>
  <cols>
    <col min="1" max="1" width="6.77734375" style="181" customWidth="1"/>
    <col min="2" max="2" width="4.77734375" style="1" customWidth="1"/>
    <col min="3" max="3" width="28.77734375" style="1" bestFit="1" customWidth="1"/>
    <col min="4" max="4" width="12.44140625" style="1" customWidth="1"/>
    <col min="5" max="5" width="25.44140625" style="1" customWidth="1"/>
    <col min="6" max="7" width="11" style="1" bestFit="1" customWidth="1"/>
    <col min="8" max="8" width="10.77734375" style="1" bestFit="1" customWidth="1"/>
    <col min="9" max="11" width="11.88671875" style="1" bestFit="1" customWidth="1"/>
    <col min="12" max="12" width="12" style="1" bestFit="1" customWidth="1"/>
    <col min="13" max="13" width="8.88671875" style="1" customWidth="1"/>
    <col min="14" max="16384" width="8.88671875" style="1"/>
  </cols>
  <sheetData>
    <row r="1" spans="1:13" ht="56.4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181" t="s">
        <v>61</v>
      </c>
      <c r="B2" s="3" t="str">
        <f>Input!$B$2</f>
        <v>Nestlé S.A.  |  CHF millions  |  Scenario: Base Case</v>
      </c>
      <c r="C2" s="4"/>
      <c r="D2" s="3"/>
      <c r="E2" s="3"/>
      <c r="F2" s="186">
        <f>G2-1</f>
        <v>2023</v>
      </c>
      <c r="G2" s="186">
        <f>H2-1</f>
        <v>2024</v>
      </c>
      <c r="H2" s="186">
        <f>I2-1</f>
        <v>2025</v>
      </c>
      <c r="I2" s="187">
        <f>Input!$I$2</f>
        <v>2026</v>
      </c>
      <c r="J2" s="187">
        <f>I2+1</f>
        <v>2027</v>
      </c>
      <c r="K2" s="187">
        <f>J2+1</f>
        <v>2028</v>
      </c>
      <c r="L2" s="187">
        <f>K2+1</f>
        <v>2029</v>
      </c>
      <c r="M2" s="187">
        <f>L2+1</f>
        <v>2030</v>
      </c>
    </row>
    <row r="4" spans="1:13">
      <c r="A4" s="183" t="s">
        <v>61</v>
      </c>
      <c r="B4" s="8" t="s">
        <v>2</v>
      </c>
      <c r="C4" s="9"/>
      <c r="D4" s="9"/>
      <c r="E4" s="9"/>
      <c r="F4" s="10"/>
      <c r="G4" s="10"/>
      <c r="H4" s="10"/>
      <c r="I4" s="11"/>
      <c r="J4" s="11"/>
      <c r="K4" s="11"/>
      <c r="L4" s="11"/>
      <c r="M4" s="11"/>
    </row>
    <row r="5" spans="1:13" outlineLevel="1">
      <c r="A5" s="183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7.399999999999999" outlineLevel="1" thickBot="1">
      <c r="A6" s="183"/>
      <c r="B6" s="12" t="str">
        <f>Input!$B$131</f>
        <v>All figures in CHF millions unless stated</v>
      </c>
      <c r="C6" s="7"/>
      <c r="D6" s="7"/>
      <c r="E6" s="7"/>
      <c r="F6" s="13">
        <f>F$2</f>
        <v>2023</v>
      </c>
      <c r="G6" s="13">
        <f t="shared" ref="G6:M6" si="0">G$2</f>
        <v>2024</v>
      </c>
      <c r="H6" s="13">
        <f t="shared" si="0"/>
        <v>2025</v>
      </c>
      <c r="I6" s="14">
        <f t="shared" si="0"/>
        <v>2026</v>
      </c>
      <c r="J6" s="14">
        <f t="shared" si="0"/>
        <v>2027</v>
      </c>
      <c r="K6" s="14">
        <f t="shared" si="0"/>
        <v>2028</v>
      </c>
      <c r="L6" s="14">
        <f t="shared" si="0"/>
        <v>2029</v>
      </c>
      <c r="M6" s="14">
        <f t="shared" si="0"/>
        <v>2030</v>
      </c>
    </row>
    <row r="7" spans="1:13" ht="17.399999999999999" outlineLevel="1" thickTop="1">
      <c r="A7" s="183"/>
      <c r="B7" s="12" t="str">
        <f>CONCATENATE("Model Running: ",INDEX(Input!$B$12:$B$14,Input!$D$6)," Drivers")</f>
        <v>Model Running: Base Case Drivers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outlineLevel="1">
      <c r="A8" s="18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outlineLevel="1">
      <c r="A9" s="182"/>
      <c r="B9" s="16" t="s">
        <v>62</v>
      </c>
      <c r="C9" s="15"/>
      <c r="D9" s="15"/>
      <c r="E9" s="15"/>
      <c r="F9" s="15"/>
      <c r="G9" s="17">
        <v>-1.7677799522570401E-2</v>
      </c>
      <c r="H9" s="17">
        <v>-2.0404142128423501E-2</v>
      </c>
      <c r="I9" s="18">
        <f>Input!I$10</f>
        <v>5.0000000000000001E-3</v>
      </c>
      <c r="J9" s="18">
        <f>Input!J$10</f>
        <v>1.4999999999999999E-2</v>
      </c>
      <c r="K9" s="18">
        <f>Input!K$10</f>
        <v>5.0000000000000001E-3</v>
      </c>
      <c r="L9" s="18">
        <f>Input!L$10</f>
        <v>0.02</v>
      </c>
      <c r="M9" s="18">
        <f>Input!M$10</f>
        <v>2.8000000000000001E-2</v>
      </c>
    </row>
    <row r="10" spans="1:13" outlineLevel="1">
      <c r="A10" s="182"/>
      <c r="B10" s="16" t="s">
        <v>63</v>
      </c>
      <c r="C10" s="15"/>
      <c r="D10" s="15"/>
      <c r="E10" s="15"/>
      <c r="F10" s="17">
        <v>3.7957805544205298E-3</v>
      </c>
      <c r="G10" s="17">
        <v>4.0063927140574001E-3</v>
      </c>
      <c r="H10" s="17">
        <v>4.4139009945245297E-3</v>
      </c>
      <c r="I10" s="18">
        <f>Input!I$17</f>
        <v>4.1999999999999997E-3</v>
      </c>
      <c r="J10" s="18">
        <f>Input!J$17</f>
        <v>4.3E-3</v>
      </c>
      <c r="K10" s="18">
        <f>Input!K$17</f>
        <v>4.3E-3</v>
      </c>
      <c r="L10" s="18">
        <f>Input!L$17</f>
        <v>4.4000000000000003E-3</v>
      </c>
      <c r="M10" s="18">
        <f>Input!M$17</f>
        <v>4.4999999999999997E-3</v>
      </c>
    </row>
    <row r="11" spans="1:13" outlineLevel="1">
      <c r="A11" s="182"/>
      <c r="B11" s="16" t="s">
        <v>64</v>
      </c>
      <c r="C11" s="15"/>
      <c r="D11" s="15"/>
      <c r="E11" s="15"/>
      <c r="F11" s="17"/>
      <c r="G11" s="17">
        <v>-3.2943888094102702E-2</v>
      </c>
      <c r="H11" s="17">
        <v>4.9311690980080602E-4</v>
      </c>
      <c r="I11" s="18">
        <f>Input!I$24</f>
        <v>9.0441984638767203E-4</v>
      </c>
      <c r="J11" s="18">
        <f>Input!J$24</f>
        <v>1.87407191548596E-2</v>
      </c>
      <c r="K11" s="18">
        <f>Input!K$24</f>
        <v>1.7768005582209999E-2</v>
      </c>
      <c r="L11" s="18">
        <f>Input!L$24</f>
        <v>1.8371852692881101E-2</v>
      </c>
      <c r="M11" s="18">
        <f>Input!M$24</f>
        <v>2.55301786228894E-2</v>
      </c>
    </row>
    <row r="12" spans="1:13" outlineLevel="1">
      <c r="A12" s="182"/>
      <c r="B12" s="16" t="s">
        <v>65</v>
      </c>
      <c r="C12" s="15"/>
      <c r="D12" s="15"/>
      <c r="E12" s="15"/>
      <c r="F12" s="17">
        <v>8.3496419277833897E-2</v>
      </c>
      <c r="G12" s="17">
        <v>8.2831622041727795E-2</v>
      </c>
      <c r="H12" s="17">
        <v>8.1640406749357505E-2</v>
      </c>
      <c r="I12" s="18">
        <f>Input!I$31</f>
        <v>8.1000000000000003E-2</v>
      </c>
      <c r="J12" s="18">
        <f>Input!J$31</f>
        <v>8.0500000000000002E-2</v>
      </c>
      <c r="K12" s="18">
        <f>Input!K$31</f>
        <v>0.08</v>
      </c>
      <c r="L12" s="18">
        <f>Input!L$31</f>
        <v>7.9500000000000001E-2</v>
      </c>
      <c r="M12" s="18">
        <f>Input!M$31</f>
        <v>7.9000000000000001E-2</v>
      </c>
    </row>
    <row r="13" spans="1:13" outlineLevel="1">
      <c r="A13" s="182"/>
      <c r="B13" s="16" t="s">
        <v>66</v>
      </c>
      <c r="C13" s="15"/>
      <c r="D13" s="15"/>
      <c r="E13" s="15"/>
      <c r="F13" s="17">
        <v>0.18870298285984599</v>
      </c>
      <c r="G13" s="17">
        <v>0.19826170720493899</v>
      </c>
      <c r="H13" s="17">
        <v>0.19983238350653701</v>
      </c>
      <c r="I13" s="18">
        <f>Input!I$38</f>
        <v>0.2</v>
      </c>
      <c r="J13" s="18">
        <f>Input!J$38</f>
        <v>0.20100000000000001</v>
      </c>
      <c r="K13" s="18">
        <f>Input!K$38</f>
        <v>0.20100000000000001</v>
      </c>
      <c r="L13" s="18">
        <f>Input!L$38</f>
        <v>0.20200000000000001</v>
      </c>
      <c r="M13" s="18">
        <f>Input!M$38</f>
        <v>0.20300000000000001</v>
      </c>
    </row>
    <row r="14" spans="1:13" outlineLevel="1">
      <c r="A14" s="182"/>
      <c r="B14" s="16" t="s">
        <v>67</v>
      </c>
      <c r="C14" s="15"/>
      <c r="D14" s="15"/>
      <c r="E14" s="15"/>
      <c r="F14" s="17">
        <v>1.78068345555818E-2</v>
      </c>
      <c r="G14" s="17">
        <v>1.8247695776867998E-2</v>
      </c>
      <c r="H14" s="17">
        <v>1.80243602637166E-2</v>
      </c>
      <c r="I14" s="18">
        <f>Input!$F$183</f>
        <v>1.7999999999999999E-2</v>
      </c>
      <c r="J14" s="18">
        <f>Input!$F$183</f>
        <v>1.7999999999999999E-2</v>
      </c>
      <c r="K14" s="18">
        <f>Input!$F$183</f>
        <v>1.7999999999999999E-2</v>
      </c>
      <c r="L14" s="18">
        <f>Input!$F$183</f>
        <v>1.7999999999999999E-2</v>
      </c>
      <c r="M14" s="18">
        <f>Input!$F$183</f>
        <v>1.7999999999999999E-2</v>
      </c>
    </row>
    <row r="15" spans="1:13" outlineLevel="1">
      <c r="A15" s="182"/>
      <c r="B15" s="16" t="s">
        <v>68</v>
      </c>
      <c r="C15" s="15"/>
      <c r="D15" s="15"/>
      <c r="E15" s="15"/>
      <c r="F15" s="17">
        <v>1.41938536312609E-3</v>
      </c>
      <c r="G15" s="17">
        <v>1.3573570943801001E-3</v>
      </c>
      <c r="H15" s="17">
        <v>1.5085484411666099E-3</v>
      </c>
      <c r="I15" s="18">
        <f>Input!I$45</f>
        <v>1.4E-3</v>
      </c>
      <c r="J15" s="18">
        <f>Input!J$45</f>
        <v>1.4E-3</v>
      </c>
      <c r="K15" s="18">
        <f>Input!K$45</f>
        <v>1.2999999999999999E-3</v>
      </c>
      <c r="L15" s="18">
        <f>Input!L$45</f>
        <v>1.4E-3</v>
      </c>
      <c r="M15" s="18">
        <f>Input!M$45</f>
        <v>1.4E-3</v>
      </c>
    </row>
    <row r="16" spans="1:13" outlineLevel="1">
      <c r="A16" s="182"/>
      <c r="B16" s="16" t="s">
        <v>69</v>
      </c>
      <c r="C16" s="15"/>
      <c r="D16" s="15"/>
      <c r="E16" s="15"/>
      <c r="F16" s="17">
        <v>1.7903610830340401E-2</v>
      </c>
      <c r="G16" s="17">
        <v>1.30809816756792E-2</v>
      </c>
      <c r="H16" s="17">
        <v>2.06615264275338E-2</v>
      </c>
      <c r="I16" s="18">
        <f>Input!I$52</f>
        <v>2.4E-2</v>
      </c>
      <c r="J16" s="18">
        <f>Input!J$52</f>
        <v>1.9E-2</v>
      </c>
      <c r="K16" s="18">
        <f>Input!K$52</f>
        <v>1.4999999999999999E-2</v>
      </c>
      <c r="L16" s="18">
        <f>Input!L$52</f>
        <v>1.15E-2</v>
      </c>
      <c r="M16" s="18">
        <f>Input!M$52</f>
        <v>9.4999999999999998E-3</v>
      </c>
    </row>
    <row r="17" spans="1:14" outlineLevel="1">
      <c r="A17" s="182"/>
      <c r="B17" s="16" t="s">
        <v>70</v>
      </c>
      <c r="C17" s="15"/>
      <c r="D17" s="15"/>
      <c r="E17" s="15"/>
      <c r="F17" s="17">
        <v>3.2043699864513198E-3</v>
      </c>
      <c r="G17" s="17">
        <v>5.1886069575497497E-3</v>
      </c>
      <c r="H17" s="17">
        <v>2.8271315230752E-3</v>
      </c>
      <c r="I17" s="18">
        <f>Input!I$59</f>
        <v>3.0000000000000001E-3</v>
      </c>
      <c r="J17" s="18">
        <f>Input!J$59</f>
        <v>2.8E-3</v>
      </c>
      <c r="K17" s="18">
        <f>Input!K$59</f>
        <v>2.7000000000000001E-3</v>
      </c>
      <c r="L17" s="18">
        <f>Input!L$59</f>
        <v>2.8E-3</v>
      </c>
      <c r="M17" s="18">
        <f>Input!M$59</f>
        <v>2.8E-3</v>
      </c>
    </row>
    <row r="18" spans="1:14" outlineLevel="1">
      <c r="A18" s="182"/>
      <c r="B18" s="16" t="s">
        <v>71</v>
      </c>
      <c r="C18" s="15"/>
      <c r="D18" s="15"/>
      <c r="E18" s="15"/>
      <c r="F18" s="17">
        <v>8.1184541603045203E-3</v>
      </c>
      <c r="G18" s="17">
        <v>4.1924819931256404E-3</v>
      </c>
      <c r="H18" s="17">
        <v>7.2745558162923196E-3</v>
      </c>
      <c r="I18" s="18">
        <f>Input!I$66</f>
        <v>6.0000000000000001E-3</v>
      </c>
      <c r="J18" s="18">
        <f>Input!J$66</f>
        <v>5.4999999999999997E-3</v>
      </c>
      <c r="K18" s="18">
        <f>Input!K$66</f>
        <v>5.1999999999999998E-3</v>
      </c>
      <c r="L18" s="18">
        <f>Input!L$66</f>
        <v>5.0000000000000001E-3</v>
      </c>
      <c r="M18" s="18">
        <f>Input!M$66</f>
        <v>4.7999999999999996E-3</v>
      </c>
    </row>
    <row r="19" spans="1:14" outlineLevel="1">
      <c r="A19" s="182"/>
      <c r="B19" s="16" t="s">
        <v>72</v>
      </c>
      <c r="C19" s="15"/>
      <c r="D19" s="15"/>
      <c r="E19" s="15"/>
      <c r="F19" s="17">
        <v>0.182161694088011</v>
      </c>
      <c r="G19" s="17">
        <v>0.25032102122516797</v>
      </c>
      <c r="H19" s="17">
        <v>0.24555855269277299</v>
      </c>
      <c r="I19" s="18">
        <f>Input!$M$173</f>
        <v>0.23499999999999999</v>
      </c>
      <c r="J19" s="18">
        <f>Input!$M$173</f>
        <v>0.23499999999999999</v>
      </c>
      <c r="K19" s="18">
        <f>Input!$M$173</f>
        <v>0.23499999999999999</v>
      </c>
      <c r="L19" s="18">
        <f>Input!$M$173</f>
        <v>0.23499999999999999</v>
      </c>
      <c r="M19" s="18">
        <f>Input!$M$173</f>
        <v>0.23499999999999999</v>
      </c>
    </row>
    <row r="20" spans="1:14" outlineLevel="1">
      <c r="A20" s="182"/>
      <c r="B20" s="16" t="s">
        <v>73</v>
      </c>
      <c r="C20" s="15"/>
      <c r="D20" s="15"/>
      <c r="E20" s="15"/>
      <c r="F20" s="15"/>
      <c r="G20" s="17">
        <v>0.11517857142857101</v>
      </c>
      <c r="H20" s="17">
        <v>-8.48678943154524E-2</v>
      </c>
      <c r="I20" s="18">
        <f>Input!I$73</f>
        <v>0.03</v>
      </c>
      <c r="J20" s="18">
        <f>Input!J$73</f>
        <v>0.04</v>
      </c>
      <c r="K20" s="18">
        <f>Input!K$73</f>
        <v>0.04</v>
      </c>
      <c r="L20" s="18">
        <f>Input!L$73</f>
        <v>0.05</v>
      </c>
      <c r="M20" s="18">
        <f>Input!M$73</f>
        <v>0.05</v>
      </c>
    </row>
    <row r="21" spans="1:14" outlineLevel="1">
      <c r="A21" s="182"/>
      <c r="B21" s="16" t="s">
        <v>74</v>
      </c>
      <c r="C21" s="15"/>
      <c r="D21" s="15"/>
      <c r="E21" s="15"/>
      <c r="F21" s="17">
        <v>2.6066556607872101E-2</v>
      </c>
      <c r="G21" s="17">
        <v>2.5953105423304101E-2</v>
      </c>
      <c r="H21" s="17">
        <v>2.3881564728765899E-2</v>
      </c>
      <c r="I21" s="18">
        <f>Input!$F$182</f>
        <v>2.5000000000000001E-2</v>
      </c>
      <c r="J21" s="18">
        <f>Input!$F$182</f>
        <v>2.5000000000000001E-2</v>
      </c>
      <c r="K21" s="18">
        <f>Input!$F$182</f>
        <v>2.5000000000000001E-2</v>
      </c>
      <c r="L21" s="18">
        <f>Input!$F$182</f>
        <v>2.5000000000000001E-2</v>
      </c>
      <c r="M21" s="18">
        <f>Input!$F$182</f>
        <v>2.5000000000000001E-2</v>
      </c>
    </row>
    <row r="22" spans="1:14" outlineLevel="1">
      <c r="A22" s="182"/>
      <c r="B22" s="278" t="s">
        <v>516</v>
      </c>
      <c r="C22" s="279"/>
      <c r="D22" s="279"/>
      <c r="E22" s="279"/>
      <c r="F22" s="280">
        <f>IFERROR(F289/-(F262+F266),0)</f>
        <v>0.26735537190082642</v>
      </c>
      <c r="G22" s="280">
        <f>IFERROR(G289/-(G262+G266),0)</f>
        <v>0.36755386565272496</v>
      </c>
      <c r="H22" s="280">
        <f>IFERROR(H289/-(H262+H266),0)</f>
        <v>0.36919999999999997</v>
      </c>
      <c r="I22" s="281">
        <f>Input!I$168</f>
        <v>0.35</v>
      </c>
      <c r="J22" s="281">
        <f>Input!J$168</f>
        <v>0.35</v>
      </c>
      <c r="K22" s="281">
        <f>Input!K$168</f>
        <v>0.35</v>
      </c>
      <c r="L22" s="281">
        <f>Input!L$168</f>
        <v>0.35</v>
      </c>
      <c r="M22" s="281">
        <f>Input!M$168</f>
        <v>0.35</v>
      </c>
    </row>
    <row r="23" spans="1:14" outlineLevel="1">
      <c r="A23" s="182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182"/>
    </row>
    <row r="24" spans="1:14">
      <c r="A24" s="182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4">
      <c r="A25" s="183" t="s">
        <v>61</v>
      </c>
      <c r="B25" s="8" t="s">
        <v>31</v>
      </c>
      <c r="C25" s="9"/>
      <c r="D25" s="9"/>
      <c r="E25" s="9"/>
      <c r="F25" s="10"/>
      <c r="G25" s="10"/>
      <c r="H25" s="10"/>
      <c r="I25" s="11"/>
      <c r="J25" s="11"/>
      <c r="K25" s="11"/>
      <c r="L25" s="11"/>
      <c r="M25" s="11"/>
    </row>
    <row r="26" spans="1:14" outlineLevel="1">
      <c r="A26" s="182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  <row r="27" spans="1:14" ht="17.399999999999999" outlineLevel="1" thickBot="1">
      <c r="A27" s="183"/>
      <c r="B27" s="12" t="str">
        <f>Input!$B$131</f>
        <v>All figures in CHF millions unless stated</v>
      </c>
      <c r="C27" s="7"/>
      <c r="D27" s="7"/>
      <c r="E27" s="7"/>
      <c r="F27" s="13">
        <f>F$2</f>
        <v>2023</v>
      </c>
      <c r="G27" s="13">
        <f t="shared" ref="G27:M27" si="1">G$2</f>
        <v>2024</v>
      </c>
      <c r="H27" s="13">
        <f t="shared" si="1"/>
        <v>2025</v>
      </c>
      <c r="I27" s="14">
        <f t="shared" si="1"/>
        <v>2026</v>
      </c>
      <c r="J27" s="14">
        <f t="shared" si="1"/>
        <v>2027</v>
      </c>
      <c r="K27" s="14">
        <f t="shared" si="1"/>
        <v>2028</v>
      </c>
      <c r="L27" s="14">
        <f t="shared" si="1"/>
        <v>2029</v>
      </c>
      <c r="M27" s="14">
        <f t="shared" si="1"/>
        <v>2030</v>
      </c>
    </row>
    <row r="28" spans="1:14" ht="17.399999999999999" outlineLevel="1" thickTop="1">
      <c r="A28" s="183"/>
      <c r="B28" s="12" t="str">
        <f>CONCATENATE("Model Running: ",INDEX(Input!$B$12:$B$14,Input!$D$6)," Drivers")</f>
        <v>Model Running: Base Case Drivers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4" outlineLevel="1">
      <c r="A29" s="182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1:14" outlineLevel="1">
      <c r="A30" s="182"/>
      <c r="B30" s="16" t="s">
        <v>75</v>
      </c>
      <c r="C30" s="15"/>
      <c r="D30" s="15"/>
      <c r="E30" s="15"/>
      <c r="F30" s="17">
        <v>0.69845659737710797</v>
      </c>
      <c r="G30" s="17">
        <v>0.71811833884601295</v>
      </c>
      <c r="H30" s="17">
        <v>0.868925052584966</v>
      </c>
      <c r="I30" s="18">
        <f>Input!I$134</f>
        <v>0.86499999999999999</v>
      </c>
      <c r="J30" s="18">
        <f>Input!J$134</f>
        <v>0.84199999999999997</v>
      </c>
      <c r="K30" s="18">
        <f>Input!K$134</f>
        <v>0.85899999999999999</v>
      </c>
      <c r="L30" s="18">
        <f>Input!L$134</f>
        <v>0.82299999999999995</v>
      </c>
      <c r="M30" s="18">
        <f>Input!M$134</f>
        <v>0.79</v>
      </c>
    </row>
    <row r="31" spans="1:14" outlineLevel="1">
      <c r="A31" s="182"/>
      <c r="B31" s="16" t="s">
        <v>76</v>
      </c>
      <c r="C31" s="15"/>
      <c r="D31" s="15"/>
      <c r="E31" s="15"/>
      <c r="F31" s="17">
        <v>1.07666666666667</v>
      </c>
      <c r="G31" s="17">
        <v>0.6</v>
      </c>
      <c r="H31" s="17">
        <v>0.77828054298642502</v>
      </c>
      <c r="I31" s="18">
        <f>Input!I$155</f>
        <v>0.75</v>
      </c>
      <c r="J31" s="18">
        <f>Input!J$155</f>
        <v>0.75</v>
      </c>
      <c r="K31" s="18">
        <f>Input!K$155</f>
        <v>0.75</v>
      </c>
      <c r="L31" s="18">
        <f>Input!L$155</f>
        <v>0.75</v>
      </c>
      <c r="M31" s="18">
        <f>Input!M$155</f>
        <v>0.75</v>
      </c>
    </row>
    <row r="32" spans="1:14" outlineLevel="1">
      <c r="A32" s="182"/>
      <c r="B32" s="16" t="s">
        <v>77</v>
      </c>
      <c r="C32" s="15"/>
      <c r="D32" s="15"/>
      <c r="E32" s="15"/>
      <c r="F32" s="192">
        <v>5234</v>
      </c>
      <c r="G32" s="192">
        <v>4678</v>
      </c>
      <c r="H32" s="192">
        <v>213</v>
      </c>
      <c r="I32" s="247">
        <f>IF((H364+H375+H371-H341)/(H267+H288)&gt;Input!$F$185,0,Input!I$141)</f>
        <v>0</v>
      </c>
      <c r="J32" s="247">
        <f>IF((I364+I375+I371-I341)/(I267+I288)&gt;Input!$F$185,0,Input!J$141)</f>
        <v>0</v>
      </c>
      <c r="K32" s="247">
        <f>IF((J364+J375+J371-J341)/(J267+J288)&gt;Input!$F$185,0,Input!K$141)</f>
        <v>0</v>
      </c>
      <c r="L32" s="247">
        <f>IF((K364+K375+K371-K341)/(K267+K288)&gt;Input!$F$185,0,Input!L$141)</f>
        <v>0</v>
      </c>
      <c r="M32" s="247">
        <f>IF((L364+L375+L371-L341)/(L267+L288)&gt;Input!$F$185,0,Input!M$141)</f>
        <v>2000</v>
      </c>
    </row>
    <row r="33" spans="1:13" outlineLevel="1">
      <c r="A33" s="182"/>
      <c r="B33" s="16" t="s">
        <v>78</v>
      </c>
      <c r="C33" s="15"/>
      <c r="D33" s="15"/>
      <c r="E33" s="15"/>
      <c r="F33" s="15"/>
      <c r="G33" s="17">
        <v>5.7992053789731102E-2</v>
      </c>
      <c r="H33" s="17">
        <v>0.19223788915258999</v>
      </c>
      <c r="I33" s="18">
        <f>Input!I$148</f>
        <v>6.5000000000000002E-2</v>
      </c>
      <c r="J33" s="18">
        <f>Input!J$148</f>
        <v>0.06</v>
      </c>
      <c r="K33" s="18">
        <f>Input!K$148</f>
        <v>0.06</v>
      </c>
      <c r="L33" s="18">
        <f>Input!L$148</f>
        <v>0.06</v>
      </c>
      <c r="M33" s="18">
        <f>Input!M$148</f>
        <v>0.06</v>
      </c>
    </row>
    <row r="34" spans="1:13" outlineLevel="1">
      <c r="A34" s="182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spans="1:13">
      <c r="A35" s="182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>
      <c r="A36" s="183" t="s">
        <v>61</v>
      </c>
      <c r="B36" s="8" t="s">
        <v>79</v>
      </c>
      <c r="C36" s="9"/>
      <c r="D36" s="9"/>
      <c r="E36" s="9"/>
      <c r="F36" s="10"/>
      <c r="G36" s="10"/>
      <c r="H36" s="10"/>
      <c r="I36" s="11"/>
      <c r="J36" s="11"/>
      <c r="K36" s="11"/>
      <c r="L36" s="11"/>
      <c r="M36" s="11"/>
    </row>
    <row r="37" spans="1:13" outlineLevel="1">
      <c r="A37" s="182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spans="1:13" ht="17.399999999999999" outlineLevel="1" thickBot="1">
      <c r="A38" s="183"/>
      <c r="B38" s="12" t="str">
        <f>Input!$B$131</f>
        <v>All figures in CHF millions unless stated</v>
      </c>
      <c r="C38" s="7"/>
      <c r="D38" s="7"/>
      <c r="E38" s="7"/>
      <c r="F38" s="13">
        <f>F$2</f>
        <v>2023</v>
      </c>
      <c r="G38" s="13">
        <f t="shared" ref="G38:M38" si="2">G$2</f>
        <v>2024</v>
      </c>
      <c r="H38" s="13">
        <f t="shared" si="2"/>
        <v>2025</v>
      </c>
      <c r="I38" s="14">
        <f t="shared" si="2"/>
        <v>2026</v>
      </c>
      <c r="J38" s="14">
        <f t="shared" si="2"/>
        <v>2027</v>
      </c>
      <c r="K38" s="14">
        <f t="shared" si="2"/>
        <v>2028</v>
      </c>
      <c r="L38" s="14">
        <f t="shared" si="2"/>
        <v>2029</v>
      </c>
      <c r="M38" s="14">
        <f t="shared" si="2"/>
        <v>2030</v>
      </c>
    </row>
    <row r="39" spans="1:13" ht="17.399999999999999" outlineLevel="1" thickTop="1">
      <c r="A39" s="183"/>
      <c r="B39" s="12" t="str">
        <f>CONCATENATE("Model Running: ",INDEX(Input!$B$12:$B$14,Input!$D$6)," Drivers")</f>
        <v>Model Running: Base Case Drivers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outlineLevel="1">
      <c r="A40" s="182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 outlineLevel="1">
      <c r="A41" s="182"/>
      <c r="B41" s="16" t="s">
        <v>50</v>
      </c>
      <c r="C41" s="15"/>
      <c r="D41" s="15"/>
      <c r="E41" s="15"/>
      <c r="F41" s="224">
        <f>Input!$F$174</f>
        <v>365</v>
      </c>
      <c r="G41" s="225">
        <f>Input!$F$174</f>
        <v>365</v>
      </c>
      <c r="H41" s="225">
        <f>Input!$F$174</f>
        <v>365</v>
      </c>
      <c r="I41" s="225">
        <f>Input!$F$174</f>
        <v>365</v>
      </c>
      <c r="J41" s="225">
        <f>Input!$F$174</f>
        <v>365</v>
      </c>
      <c r="K41" s="225">
        <f>Input!$F$174</f>
        <v>365</v>
      </c>
      <c r="L41" s="225">
        <f>Input!$F$174</f>
        <v>365</v>
      </c>
      <c r="M41" s="226">
        <f>Input!$F$174</f>
        <v>365</v>
      </c>
    </row>
    <row r="42" spans="1:13" outlineLevel="1">
      <c r="A42" s="182"/>
      <c r="B42" s="16" t="s">
        <v>80</v>
      </c>
      <c r="C42" s="15"/>
      <c r="D42" s="15"/>
      <c r="E42" s="15"/>
      <c r="F42" s="20">
        <f t="shared" ref="F42:M42" si="3">F255</f>
        <v>92998</v>
      </c>
      <c r="G42" s="21">
        <f t="shared" si="3"/>
        <v>91354</v>
      </c>
      <c r="H42" s="21">
        <f t="shared" si="3"/>
        <v>89490</v>
      </c>
      <c r="I42" s="21">
        <f t="shared" si="3"/>
        <v>89937.45</v>
      </c>
      <c r="J42" s="21">
        <f t="shared" si="3"/>
        <v>91286.511749999991</v>
      </c>
      <c r="K42" s="21">
        <f t="shared" si="3"/>
        <v>91742.944308749982</v>
      </c>
      <c r="L42" s="21">
        <f t="shared" si="3"/>
        <v>93577.803194924985</v>
      </c>
      <c r="M42" s="22">
        <f t="shared" si="3"/>
        <v>96197.981684382888</v>
      </c>
    </row>
    <row r="43" spans="1:13" outlineLevel="1">
      <c r="A43" s="182"/>
      <c r="B43" s="16" t="s">
        <v>8</v>
      </c>
      <c r="C43" s="15"/>
      <c r="D43" s="15"/>
      <c r="E43" s="15"/>
      <c r="F43" s="23">
        <f t="shared" ref="F43:M43" si="4">-F257</f>
        <v>50328</v>
      </c>
      <c r="G43" s="24">
        <f t="shared" si="4"/>
        <v>48670</v>
      </c>
      <c r="H43" s="24">
        <f t="shared" si="4"/>
        <v>48694</v>
      </c>
      <c r="I43" s="24">
        <f t="shared" si="4"/>
        <v>48738.039819999998</v>
      </c>
      <c r="J43" s="24">
        <f t="shared" si="4"/>
        <v>49651.425736424986</v>
      </c>
      <c r="K43" s="24">
        <f t="shared" si="4"/>
        <v>50533.63254607447</v>
      </c>
      <c r="L43" s="24">
        <f t="shared" si="4"/>
        <v>51462.02899924713</v>
      </c>
      <c r="M43" s="25">
        <f t="shared" si="4"/>
        <v>52775.863791894226</v>
      </c>
    </row>
    <row r="44" spans="1:13" outlineLevel="1">
      <c r="A44" s="182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outlineLevel="1">
      <c r="A45" s="182"/>
      <c r="B45" s="26" t="s">
        <v>81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spans="1:13" outlineLevel="1">
      <c r="A46" s="182"/>
      <c r="B46" s="16" t="s">
        <v>82</v>
      </c>
      <c r="C46" s="15"/>
      <c r="D46" s="15"/>
      <c r="E46" s="15"/>
      <c r="F46" s="28">
        <f>(F53/F42)*F41</f>
        <v>43.153347383814705</v>
      </c>
      <c r="G46" s="28">
        <f>(G53/G42)*G41</f>
        <v>44.952766162401211</v>
      </c>
      <c r="H46" s="28">
        <f>(H53/H42)*H41</f>
        <v>43.074812828248966</v>
      </c>
      <c r="I46" s="29">
        <f>Input!I86</f>
        <v>43</v>
      </c>
      <c r="J46" s="29">
        <f>Input!J86</f>
        <v>43</v>
      </c>
      <c r="K46" s="29">
        <f>Input!K86</f>
        <v>42.5</v>
      </c>
      <c r="L46" s="29">
        <f>Input!L86</f>
        <v>42</v>
      </c>
      <c r="M46" s="29">
        <f>Input!M86</f>
        <v>42</v>
      </c>
    </row>
    <row r="47" spans="1:13" outlineLevel="1">
      <c r="A47" s="182"/>
      <c r="B47" s="16" t="s">
        <v>83</v>
      </c>
      <c r="C47" s="15"/>
      <c r="D47" s="15"/>
      <c r="E47" s="15"/>
      <c r="F47" s="28">
        <f>(F54/F43)*F41</f>
        <v>86.274837068828489</v>
      </c>
      <c r="G47" s="28">
        <f>(G54/G43)*G41</f>
        <v>99.443188822683382</v>
      </c>
      <c r="H47" s="28">
        <f>(H54/H43)*H41</f>
        <v>96.043557727851478</v>
      </c>
      <c r="I47" s="29">
        <f>Input!I93</f>
        <v>93</v>
      </c>
      <c r="J47" s="29">
        <f>Input!J93</f>
        <v>91</v>
      </c>
      <c r="K47" s="29">
        <f>Input!K93</f>
        <v>89</v>
      </c>
      <c r="L47" s="29">
        <f>Input!L93</f>
        <v>88</v>
      </c>
      <c r="M47" s="29">
        <f>Input!M93</f>
        <v>87</v>
      </c>
    </row>
    <row r="48" spans="1:13" outlineLevel="1">
      <c r="A48" s="182"/>
      <c r="B48" s="16" t="s">
        <v>84</v>
      </c>
      <c r="C48" s="15"/>
      <c r="D48" s="15"/>
      <c r="E48" s="15"/>
      <c r="F48" s="28">
        <f>(F55/F43)*F41</f>
        <v>139.27555237641076</v>
      </c>
      <c r="G48" s="28">
        <f>(G55/G43)*G41</f>
        <v>163.54129854119583</v>
      </c>
      <c r="H48" s="28">
        <f>(H55/H43)*H41</f>
        <v>150.08820388548898</v>
      </c>
      <c r="I48" s="29">
        <f>Input!I100</f>
        <v>150</v>
      </c>
      <c r="J48" s="29">
        <f>Input!J100</f>
        <v>150</v>
      </c>
      <c r="K48" s="29">
        <f>Input!K100</f>
        <v>150</v>
      </c>
      <c r="L48" s="29">
        <f>Input!L100</f>
        <v>150</v>
      </c>
      <c r="M48" s="29">
        <f>Input!M100</f>
        <v>150</v>
      </c>
    </row>
    <row r="49" spans="1:13" outlineLevel="1">
      <c r="A49" s="182"/>
      <c r="B49" s="16" t="s">
        <v>85</v>
      </c>
      <c r="C49" s="15"/>
      <c r="D49" s="15"/>
      <c r="E49" s="15"/>
      <c r="F49" s="28">
        <f>(F56/F42)*F41</f>
        <v>2.0448289210520656</v>
      </c>
      <c r="G49" s="28">
        <f>(G56/G42)*G41</f>
        <v>2.1695273332311666</v>
      </c>
      <c r="H49" s="28">
        <f>(H56/H42)*H41</f>
        <v>1.9536819756397363</v>
      </c>
      <c r="I49" s="29">
        <f>Input!I107</f>
        <v>2</v>
      </c>
      <c r="J49" s="29">
        <f>Input!J107</f>
        <v>2</v>
      </c>
      <c r="K49" s="29">
        <f>Input!K107</f>
        <v>2</v>
      </c>
      <c r="L49" s="29">
        <f>Input!L107</f>
        <v>2</v>
      </c>
      <c r="M49" s="29">
        <f>Input!M107</f>
        <v>2</v>
      </c>
    </row>
    <row r="50" spans="1:13" outlineLevel="1">
      <c r="A50" s="182"/>
      <c r="B50" s="16" t="s">
        <v>86</v>
      </c>
      <c r="C50" s="15"/>
      <c r="D50" s="15"/>
      <c r="E50" s="15"/>
      <c r="F50" s="28">
        <f>(F57/F43)*F41</f>
        <v>37.074391988555078</v>
      </c>
      <c r="G50" s="28">
        <f>(G57/G43)*G41</f>
        <v>40.992192315594828</v>
      </c>
      <c r="H50" s="28">
        <f>(H57/H43)*H41</f>
        <v>41.789029449213452</v>
      </c>
      <c r="I50" s="29">
        <f>Input!I108</f>
        <v>40</v>
      </c>
      <c r="J50" s="29">
        <f>Input!J108</f>
        <v>40</v>
      </c>
      <c r="K50" s="29">
        <f>Input!K108</f>
        <v>40</v>
      </c>
      <c r="L50" s="29">
        <f>Input!L108</f>
        <v>41</v>
      </c>
      <c r="M50" s="29">
        <f>Input!M108</f>
        <v>41</v>
      </c>
    </row>
    <row r="51" spans="1:13" outlineLevel="1">
      <c r="A51" s="182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 outlineLevel="1">
      <c r="A52" s="182"/>
      <c r="B52" s="26" t="s">
        <v>87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spans="1:13" outlineLevel="1">
      <c r="A53" s="182"/>
      <c r="B53" s="16" t="s">
        <v>88</v>
      </c>
      <c r="C53" s="15"/>
      <c r="D53" s="15"/>
      <c r="E53" s="15"/>
      <c r="F53" s="192">
        <v>10995</v>
      </c>
      <c r="G53" s="192">
        <v>11251</v>
      </c>
      <c r="H53" s="192">
        <v>10561</v>
      </c>
      <c r="I53" s="21">
        <f>(I46/I41)*I42</f>
        <v>10595.370821917808</v>
      </c>
      <c r="J53" s="21">
        <f>(J46/J41)*J42</f>
        <v>10754.301384246575</v>
      </c>
      <c r="K53" s="21">
        <f>(K46/K41)*K42</f>
        <v>10682.397624991436</v>
      </c>
      <c r="L53" s="21">
        <f>(L46/L41)*L42</f>
        <v>10767.856805991369</v>
      </c>
      <c r="M53" s="21">
        <f>(M46/M41)*M42</f>
        <v>11069.356796559126</v>
      </c>
    </row>
    <row r="54" spans="1:13" outlineLevel="1">
      <c r="A54" s="182"/>
      <c r="B54" s="16" t="s">
        <v>89</v>
      </c>
      <c r="C54" s="15"/>
      <c r="D54" s="15"/>
      <c r="E54" s="15"/>
      <c r="F54" s="192">
        <v>11896</v>
      </c>
      <c r="G54" s="192">
        <v>13260</v>
      </c>
      <c r="H54" s="192">
        <v>12813</v>
      </c>
      <c r="I54" s="21">
        <f>(I47/I41)*I43</f>
        <v>12418.185488383562</v>
      </c>
      <c r="J54" s="21">
        <f>(J47/J41)*J43</f>
        <v>12378.848608259381</v>
      </c>
      <c r="K54" s="21">
        <f>(K47/K41)*K43</f>
        <v>12321.899442741445</v>
      </c>
      <c r="L54" s="21">
        <f>(L47/L41)*L43</f>
        <v>12407.283703928075</v>
      </c>
      <c r="M54" s="21">
        <f>(M47/M41)*M43</f>
        <v>12579.452465465198</v>
      </c>
    </row>
    <row r="55" spans="1:13" outlineLevel="1">
      <c r="A55" s="182"/>
      <c r="B55" s="16" t="s">
        <v>90</v>
      </c>
      <c r="C55" s="15"/>
      <c r="D55" s="15"/>
      <c r="E55" s="15"/>
      <c r="F55" s="192">
        <v>19204</v>
      </c>
      <c r="G55" s="192">
        <v>21807</v>
      </c>
      <c r="H55" s="192">
        <v>20023</v>
      </c>
      <c r="I55" s="21">
        <f>(I48/I41)*I43</f>
        <v>20029.331432876712</v>
      </c>
      <c r="J55" s="21">
        <f>(J48/J41)*J43</f>
        <v>20404.695508119858</v>
      </c>
      <c r="K55" s="21">
        <f>(K48/K41)*K43</f>
        <v>20767.246251811426</v>
      </c>
      <c r="L55" s="21">
        <f>(L48/L41)*L43</f>
        <v>21148.779040786492</v>
      </c>
      <c r="M55" s="21">
        <f>(M48/M41)*M43</f>
        <v>21688.711147353792</v>
      </c>
    </row>
    <row r="56" spans="1:13" outlineLevel="1">
      <c r="A56" s="182"/>
      <c r="B56" s="16" t="s">
        <v>21</v>
      </c>
      <c r="C56" s="15"/>
      <c r="D56" s="15"/>
      <c r="E56" s="15"/>
      <c r="F56" s="192">
        <v>521</v>
      </c>
      <c r="G56" s="192">
        <v>543</v>
      </c>
      <c r="H56" s="192">
        <v>479</v>
      </c>
      <c r="I56" s="21">
        <f>(I49/I41)*I42</f>
        <v>492.80794520547943</v>
      </c>
      <c r="J56" s="21">
        <f>(J49/J41)*J42</f>
        <v>500.2000643835616</v>
      </c>
      <c r="K56" s="21">
        <f>(K49/K41)*K42</f>
        <v>502.70106470547938</v>
      </c>
      <c r="L56" s="21">
        <f>(L49/L41)*L42</f>
        <v>512.75508599958891</v>
      </c>
      <c r="M56" s="21">
        <f>(M49/M41)*M42</f>
        <v>527.1122284075775</v>
      </c>
    </row>
    <row r="57" spans="1:13" outlineLevel="1">
      <c r="A57" s="182"/>
      <c r="B57" s="16" t="s">
        <v>22</v>
      </c>
      <c r="C57" s="15"/>
      <c r="D57" s="15"/>
      <c r="E57" s="15"/>
      <c r="F57" s="192">
        <v>5112</v>
      </c>
      <c r="G57" s="192">
        <v>5466</v>
      </c>
      <c r="H57" s="192">
        <v>5575</v>
      </c>
      <c r="I57" s="21">
        <f>(I50/I41)*I43</f>
        <v>5341.1550487671229</v>
      </c>
      <c r="J57" s="21">
        <f>(J50/J41)*J43</f>
        <v>5441.2521354986284</v>
      </c>
      <c r="K57" s="21">
        <f>(K50/K41)*K43</f>
        <v>5537.9323338163804</v>
      </c>
      <c r="L57" s="21">
        <f>(L50/L41)*L43</f>
        <v>5780.6662711483077</v>
      </c>
      <c r="M57" s="21">
        <f>(M50/M41)*M43</f>
        <v>5928.247713610036</v>
      </c>
    </row>
    <row r="58" spans="1:13" outlineLevel="1">
      <c r="A58" s="182"/>
      <c r="B58" s="30"/>
      <c r="C58" s="19"/>
      <c r="D58" s="19"/>
      <c r="E58" s="19"/>
      <c r="F58" s="31"/>
      <c r="G58" s="31"/>
      <c r="H58" s="31"/>
      <c r="I58" s="24"/>
      <c r="J58" s="24"/>
      <c r="K58" s="24"/>
      <c r="L58" s="24"/>
      <c r="M58" s="24"/>
    </row>
    <row r="59" spans="1:13" outlineLevel="1">
      <c r="A59" s="182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outlineLevel="1">
      <c r="A60" s="182"/>
      <c r="B60" s="26" t="s">
        <v>91</v>
      </c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spans="1:13" outlineLevel="1">
      <c r="A61" s="182"/>
      <c r="B61" s="16" t="s">
        <v>88</v>
      </c>
      <c r="C61" s="15"/>
      <c r="D61" s="15"/>
      <c r="E61" s="15"/>
      <c r="F61" s="32"/>
      <c r="G61" s="21">
        <f t="shared" ref="G61:M62" si="5">F53-G53</f>
        <v>-256</v>
      </c>
      <c r="H61" s="21">
        <f t="shared" si="5"/>
        <v>690</v>
      </c>
      <c r="I61" s="21">
        <f t="shared" si="5"/>
        <v>-34.370821917807916</v>
      </c>
      <c r="J61" s="21">
        <f t="shared" si="5"/>
        <v>-158.93056232876734</v>
      </c>
      <c r="K61" s="21">
        <f t="shared" si="5"/>
        <v>71.903759255139448</v>
      </c>
      <c r="L61" s="21">
        <f t="shared" si="5"/>
        <v>-85.459180999932869</v>
      </c>
      <c r="M61" s="21">
        <f t="shared" si="5"/>
        <v>-301.49999056775778</v>
      </c>
    </row>
    <row r="62" spans="1:13" outlineLevel="1">
      <c r="A62" s="182"/>
      <c r="B62" s="16" t="s">
        <v>89</v>
      </c>
      <c r="C62" s="15"/>
      <c r="D62" s="15"/>
      <c r="E62" s="15"/>
      <c r="F62" s="32"/>
      <c r="G62" s="21">
        <f t="shared" si="5"/>
        <v>-1364</v>
      </c>
      <c r="H62" s="21">
        <f t="shared" si="5"/>
        <v>447</v>
      </c>
      <c r="I62" s="21">
        <f t="shared" si="5"/>
        <v>394.81451161643781</v>
      </c>
      <c r="J62" s="21">
        <f t="shared" si="5"/>
        <v>39.336880124181334</v>
      </c>
      <c r="K62" s="21">
        <f t="shared" si="5"/>
        <v>56.949165517935398</v>
      </c>
      <c r="L62" s="21">
        <f t="shared" si="5"/>
        <v>-85.384261186629374</v>
      </c>
      <c r="M62" s="21">
        <f t="shared" si="5"/>
        <v>-172.16876153712292</v>
      </c>
    </row>
    <row r="63" spans="1:13" outlineLevel="1">
      <c r="A63" s="182"/>
      <c r="B63" s="16" t="s">
        <v>21</v>
      </c>
      <c r="C63" s="15"/>
      <c r="D63" s="15"/>
      <c r="E63" s="15"/>
      <c r="F63" s="32"/>
      <c r="G63" s="21">
        <f t="shared" ref="G63:M63" si="6">F56-G56</f>
        <v>-22</v>
      </c>
      <c r="H63" s="21">
        <f t="shared" si="6"/>
        <v>64</v>
      </c>
      <c r="I63" s="21">
        <f t="shared" si="6"/>
        <v>-13.807945205479427</v>
      </c>
      <c r="J63" s="21">
        <f t="shared" si="6"/>
        <v>-7.3921191780821687</v>
      </c>
      <c r="K63" s="21">
        <f t="shared" si="6"/>
        <v>-2.5010003219177861</v>
      </c>
      <c r="L63" s="21">
        <f t="shared" si="6"/>
        <v>-10.054021294109532</v>
      </c>
      <c r="M63" s="21">
        <f t="shared" si="6"/>
        <v>-14.35714240798859</v>
      </c>
    </row>
    <row r="64" spans="1:13" outlineLevel="1">
      <c r="A64" s="182"/>
      <c r="B64" s="16" t="s">
        <v>90</v>
      </c>
      <c r="C64" s="15"/>
      <c r="D64" s="15"/>
      <c r="E64" s="15"/>
      <c r="F64" s="32"/>
      <c r="G64" s="21">
        <f t="shared" ref="G64:M64" si="7">G55-F55</f>
        <v>2603</v>
      </c>
      <c r="H64" s="21">
        <f t="shared" si="7"/>
        <v>-1784</v>
      </c>
      <c r="I64" s="21">
        <f t="shared" si="7"/>
        <v>6.331432876711915</v>
      </c>
      <c r="J64" s="21">
        <f t="shared" si="7"/>
        <v>375.36407524314563</v>
      </c>
      <c r="K64" s="21">
        <f t="shared" si="7"/>
        <v>362.55074369156864</v>
      </c>
      <c r="L64" s="21">
        <f t="shared" si="7"/>
        <v>381.53278897506607</v>
      </c>
      <c r="M64" s="21">
        <f t="shared" si="7"/>
        <v>539.93210656729934</v>
      </c>
    </row>
    <row r="65" spans="1:13" outlineLevel="1">
      <c r="A65" s="182"/>
      <c r="B65" s="16" t="s">
        <v>22</v>
      </c>
      <c r="C65" s="15"/>
      <c r="D65" s="15"/>
      <c r="E65" s="15"/>
      <c r="F65" s="32"/>
      <c r="G65" s="21">
        <f t="shared" ref="G65:M65" si="8">G57-F57</f>
        <v>354</v>
      </c>
      <c r="H65" s="21">
        <f t="shared" si="8"/>
        <v>109</v>
      </c>
      <c r="I65" s="21">
        <f t="shared" si="8"/>
        <v>-233.84495123287707</v>
      </c>
      <c r="J65" s="21">
        <f t="shared" si="8"/>
        <v>100.09708673150544</v>
      </c>
      <c r="K65" s="21">
        <f t="shared" si="8"/>
        <v>96.680198317752001</v>
      </c>
      <c r="L65" s="21">
        <f t="shared" si="8"/>
        <v>242.73393733192734</v>
      </c>
      <c r="M65" s="21">
        <f t="shared" si="8"/>
        <v>147.58144246172833</v>
      </c>
    </row>
    <row r="66" spans="1:13" ht="17.399999999999999" outlineLevel="1" thickBot="1">
      <c r="A66" s="182"/>
      <c r="B66" s="16" t="s">
        <v>92</v>
      </c>
      <c r="C66" s="15"/>
      <c r="D66" s="15"/>
      <c r="E66" s="15"/>
      <c r="F66" s="32"/>
      <c r="G66" s="33">
        <f t="shared" ref="G66:M66" si="9">G61+G62+G63+G64+G65</f>
        <v>1315</v>
      </c>
      <c r="H66" s="33">
        <f t="shared" si="9"/>
        <v>-474</v>
      </c>
      <c r="I66" s="33">
        <f t="shared" si="9"/>
        <v>119.12222613698532</v>
      </c>
      <c r="J66" s="33">
        <f t="shared" si="9"/>
        <v>348.47536059198291</v>
      </c>
      <c r="K66" s="33">
        <f t="shared" si="9"/>
        <v>585.5828664604777</v>
      </c>
      <c r="L66" s="33">
        <f t="shared" si="9"/>
        <v>443.36926282632163</v>
      </c>
      <c r="M66" s="33">
        <f t="shared" si="9"/>
        <v>199.48765451615839</v>
      </c>
    </row>
    <row r="67" spans="1:13" ht="17.399999999999999" outlineLevel="1" thickTop="1">
      <c r="A67" s="182"/>
      <c r="B67" s="30"/>
      <c r="C67" s="19"/>
      <c r="D67" s="19"/>
      <c r="E67" s="19"/>
      <c r="F67" s="31"/>
      <c r="G67" s="31"/>
      <c r="H67" s="31"/>
      <c r="I67" s="24"/>
      <c r="J67" s="24"/>
      <c r="K67" s="24"/>
      <c r="L67" s="24"/>
      <c r="M67" s="24"/>
    </row>
    <row r="68" spans="1:13">
      <c r="A68" s="182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>
      <c r="A69" s="183" t="s">
        <v>61</v>
      </c>
      <c r="B69" s="8" t="s">
        <v>93</v>
      </c>
      <c r="C69" s="9"/>
      <c r="D69" s="9"/>
      <c r="E69" s="9"/>
      <c r="F69" s="10"/>
      <c r="G69" s="10"/>
      <c r="H69" s="10"/>
      <c r="I69" s="11"/>
      <c r="J69" s="11"/>
      <c r="K69" s="11"/>
      <c r="L69" s="11"/>
      <c r="M69" s="11"/>
    </row>
    <row r="70" spans="1:13" outlineLevel="1">
      <c r="A70" s="182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ht="17.399999999999999" outlineLevel="1" thickBot="1">
      <c r="A71" s="183"/>
      <c r="B71" s="12" t="str">
        <f>Input!$B$131</f>
        <v>All figures in CHF millions unless stated</v>
      </c>
      <c r="C71" s="7"/>
      <c r="D71" s="7"/>
      <c r="E71" s="7"/>
      <c r="F71" s="13">
        <f>F$2</f>
        <v>2023</v>
      </c>
      <c r="G71" s="13">
        <f t="shared" ref="G71:M71" si="10">G$2</f>
        <v>2024</v>
      </c>
      <c r="H71" s="13">
        <f t="shared" si="10"/>
        <v>2025</v>
      </c>
      <c r="I71" s="14">
        <f t="shared" si="10"/>
        <v>2026</v>
      </c>
      <c r="J71" s="14">
        <f t="shared" si="10"/>
        <v>2027</v>
      </c>
      <c r="K71" s="14">
        <f t="shared" si="10"/>
        <v>2028</v>
      </c>
      <c r="L71" s="14">
        <f t="shared" si="10"/>
        <v>2029</v>
      </c>
      <c r="M71" s="14">
        <f t="shared" si="10"/>
        <v>2030</v>
      </c>
    </row>
    <row r="72" spans="1:13" ht="17.399999999999999" outlineLevel="1" thickTop="1">
      <c r="A72" s="183"/>
      <c r="B72" s="12" t="str">
        <f>CONCATENATE("Model Running: ",INDEX(Input!$B$12:$B$14,Input!$D$6)," Drivers")</f>
        <v>Model Running: Base Case Drivers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outlineLevel="1">
      <c r="A73" s="182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</row>
    <row r="74" spans="1:13" outlineLevel="1">
      <c r="A74" s="190"/>
      <c r="B74" s="26" t="s">
        <v>94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</row>
    <row r="75" spans="1:13" outlineLevel="1">
      <c r="A75" s="182"/>
      <c r="B75" s="16" t="s">
        <v>95</v>
      </c>
      <c r="C75" s="15"/>
      <c r="D75" s="15"/>
      <c r="E75" s="15"/>
      <c r="F75" s="283">
        <f>-F305/F255</f>
        <v>6.1442181552291447E-2</v>
      </c>
      <c r="G75" s="284">
        <f>-G305/G255</f>
        <v>6.1715962081572782E-2</v>
      </c>
      <c r="H75" s="284">
        <f>-H305/H255</f>
        <v>5.058665772712035E-2</v>
      </c>
      <c r="I75" s="35">
        <f>Input!I116</f>
        <v>4.9000000000000002E-2</v>
      </c>
      <c r="J75" s="35">
        <f>Input!J116</f>
        <v>4.8000000000000001E-2</v>
      </c>
      <c r="K75" s="35">
        <f>Input!K116</f>
        <v>4.8000000000000001E-2</v>
      </c>
      <c r="L75" s="35">
        <f>Input!L116</f>
        <v>4.7E-2</v>
      </c>
      <c r="M75" s="36">
        <f>Input!M116</f>
        <v>4.7E-2</v>
      </c>
    </row>
    <row r="76" spans="1:13" outlineLevel="1">
      <c r="A76" s="182"/>
      <c r="B76" s="16" t="s">
        <v>96</v>
      </c>
      <c r="C76" s="15"/>
      <c r="D76" s="15"/>
      <c r="E76" s="15"/>
      <c r="F76" s="285">
        <f t="shared" ref="F76:M76" si="11">-F255*F75</f>
        <v>-5714</v>
      </c>
      <c r="G76" s="286">
        <f t="shared" si="11"/>
        <v>-5638</v>
      </c>
      <c r="H76" s="286">
        <f t="shared" si="11"/>
        <v>-4527</v>
      </c>
      <c r="I76" s="24">
        <f t="shared" si="11"/>
        <v>-4406.93505</v>
      </c>
      <c r="J76" s="24">
        <f t="shared" si="11"/>
        <v>-4381.7525639999994</v>
      </c>
      <c r="K76" s="24">
        <f t="shared" si="11"/>
        <v>-4403.661326819999</v>
      </c>
      <c r="L76" s="24">
        <f t="shared" si="11"/>
        <v>-4398.1567501614745</v>
      </c>
      <c r="M76" s="25">
        <f t="shared" si="11"/>
        <v>-4521.3051391659956</v>
      </c>
    </row>
    <row r="77" spans="1:13" outlineLevel="1">
      <c r="A77" s="182"/>
      <c r="B77" s="16"/>
      <c r="C77" s="15"/>
      <c r="D77" s="15"/>
      <c r="E77" s="15"/>
      <c r="F77" s="248"/>
      <c r="G77" s="248"/>
      <c r="H77" s="248"/>
      <c r="I77" s="21"/>
      <c r="J77" s="21"/>
      <c r="K77" s="21"/>
      <c r="L77" s="21"/>
      <c r="M77" s="21"/>
    </row>
    <row r="78" spans="1:13" outlineLevel="1">
      <c r="A78" s="182"/>
      <c r="B78" s="16" t="s">
        <v>97</v>
      </c>
      <c r="C78" s="15"/>
      <c r="D78" s="15"/>
      <c r="E78" s="15"/>
      <c r="F78" s="283">
        <f>-F306/F255</f>
        <v>5.2581775952171015E-3</v>
      </c>
      <c r="G78" s="284">
        <f>-G306/G255</f>
        <v>3.5575891586575301E-3</v>
      </c>
      <c r="H78" s="284">
        <f>-H306/H255</f>
        <v>4.2909822326516927E-3</v>
      </c>
      <c r="I78" s="35">
        <f>Input!I123</f>
        <v>4.0000000000000001E-3</v>
      </c>
      <c r="J78" s="35">
        <f>Input!J123</f>
        <v>4.0000000000000001E-3</v>
      </c>
      <c r="K78" s="35">
        <f>Input!K123</f>
        <v>4.0000000000000001E-3</v>
      </c>
      <c r="L78" s="35">
        <f>Input!L123</f>
        <v>4.4999999999999997E-3</v>
      </c>
      <c r="M78" s="36">
        <f>Input!M123</f>
        <v>4.4999999999999997E-3</v>
      </c>
    </row>
    <row r="79" spans="1:13" outlineLevel="1">
      <c r="A79" s="182"/>
      <c r="B79" s="16" t="s">
        <v>98</v>
      </c>
      <c r="C79" s="15"/>
      <c r="D79" s="15"/>
      <c r="E79" s="15"/>
      <c r="F79" s="23">
        <f t="shared" ref="F79:M79" si="12">-F255*F78</f>
        <v>-489</v>
      </c>
      <c r="G79" s="24">
        <f t="shared" si="12"/>
        <v>-325</v>
      </c>
      <c r="H79" s="24">
        <f t="shared" si="12"/>
        <v>-384</v>
      </c>
      <c r="I79" s="24">
        <f t="shared" si="12"/>
        <v>-359.74979999999999</v>
      </c>
      <c r="J79" s="24">
        <f t="shared" si="12"/>
        <v>-365.14604699999995</v>
      </c>
      <c r="K79" s="24">
        <f t="shared" si="12"/>
        <v>-366.97177723499993</v>
      </c>
      <c r="L79" s="24">
        <f t="shared" si="12"/>
        <v>-421.10011437716241</v>
      </c>
      <c r="M79" s="25">
        <f t="shared" si="12"/>
        <v>-432.89091757972295</v>
      </c>
    </row>
    <row r="80" spans="1:13" outlineLevel="1">
      <c r="A80" s="182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</row>
    <row r="81" spans="1:13" outlineLevel="1">
      <c r="A81" s="190"/>
      <c r="B81" s="26" t="s">
        <v>99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</row>
    <row r="82" spans="1:13" outlineLevel="1">
      <c r="A82" s="182"/>
      <c r="B82" s="16" t="s">
        <v>100</v>
      </c>
      <c r="C82" s="15"/>
      <c r="D82" s="15"/>
      <c r="E82" s="15"/>
      <c r="F82" s="15"/>
      <c r="G82" s="17">
        <v>7.3564445904871406E-2</v>
      </c>
      <c r="H82" s="17">
        <v>6.8610602254914901E-2</v>
      </c>
      <c r="I82" s="18">
        <f>Input!I124</f>
        <v>7.0000000000000007E-2</v>
      </c>
      <c r="J82" s="18">
        <f>Input!J124</f>
        <v>6.9000000000000006E-2</v>
      </c>
      <c r="K82" s="18">
        <f>Input!K124</f>
        <v>6.8000000000000005E-2</v>
      </c>
      <c r="L82" s="18">
        <f>Input!L124</f>
        <v>6.7000000000000004E-2</v>
      </c>
      <c r="M82" s="18">
        <f>Input!M124</f>
        <v>6.7000000000000004E-2</v>
      </c>
    </row>
    <row r="83" spans="1:13" outlineLevel="1">
      <c r="A83" s="182"/>
      <c r="B83" s="16" t="s">
        <v>101</v>
      </c>
      <c r="C83" s="15"/>
      <c r="D83" s="15"/>
      <c r="E83" s="15"/>
      <c r="F83" s="17">
        <v>0.85</v>
      </c>
      <c r="G83" s="17">
        <v>0.85</v>
      </c>
      <c r="H83" s="17">
        <v>0.85</v>
      </c>
      <c r="I83" s="18">
        <f>Input!I125</f>
        <v>0.85</v>
      </c>
      <c r="J83" s="18">
        <f>Input!J125</f>
        <v>0.85</v>
      </c>
      <c r="K83" s="18">
        <f>Input!K125</f>
        <v>0.85</v>
      </c>
      <c r="L83" s="18">
        <f>Input!L125</f>
        <v>0.85</v>
      </c>
      <c r="M83" s="18">
        <f>Input!M125</f>
        <v>0.85</v>
      </c>
    </row>
    <row r="84" spans="1:13" outlineLevel="1">
      <c r="A84" s="182"/>
      <c r="B84" s="16" t="s">
        <v>102</v>
      </c>
      <c r="C84" s="15"/>
      <c r="D84" s="15"/>
      <c r="E84" s="15"/>
      <c r="F84" s="21">
        <f t="shared" ref="F84:M84" si="13">F352</f>
        <v>30467</v>
      </c>
      <c r="G84" s="21">
        <f t="shared" si="13"/>
        <v>33706</v>
      </c>
      <c r="H84" s="21">
        <f t="shared" si="13"/>
        <v>32549</v>
      </c>
      <c r="I84" s="21">
        <f t="shared" si="13"/>
        <v>34027.226049999997</v>
      </c>
      <c r="J84" s="21">
        <f t="shared" si="13"/>
        <v>35444.6231685475</v>
      </c>
      <c r="K84" s="21">
        <f t="shared" si="13"/>
        <v>36854.096153612474</v>
      </c>
      <c r="L84" s="21">
        <f t="shared" si="13"/>
        <v>38231.019807136974</v>
      </c>
      <c r="M84" s="21">
        <f t="shared" si="13"/>
        <v>39659.057788705199</v>
      </c>
    </row>
    <row r="85" spans="1:13" outlineLevel="1">
      <c r="A85" s="182"/>
      <c r="B85" s="16" t="s">
        <v>103</v>
      </c>
      <c r="C85" s="15"/>
      <c r="D85" s="15"/>
      <c r="E85" s="15"/>
      <c r="F85" s="21">
        <f t="shared" ref="F85:M85" si="14">F354</f>
        <v>18225</v>
      </c>
      <c r="G85" s="21">
        <f t="shared" si="14"/>
        <v>19245</v>
      </c>
      <c r="H85" s="21">
        <f t="shared" si="14"/>
        <v>16673</v>
      </c>
      <c r="I85" s="21">
        <f t="shared" si="14"/>
        <v>16515.918799999999</v>
      </c>
      <c r="J85" s="21">
        <f t="shared" si="14"/>
        <v>16357.943297802498</v>
      </c>
      <c r="K85" s="21">
        <f t="shared" si="14"/>
        <v>16196.528897080727</v>
      </c>
      <c r="L85" s="21">
        <f t="shared" si="14"/>
        <v>16084.470229698421</v>
      </c>
      <c r="M85" s="21">
        <f t="shared" si="14"/>
        <v>15971.49047240795</v>
      </c>
    </row>
    <row r="86" spans="1:13" outlineLevel="1">
      <c r="A86" s="182"/>
      <c r="B86" s="16"/>
      <c r="C86" s="15"/>
      <c r="D86" s="15"/>
      <c r="E86" s="15"/>
      <c r="F86" s="17"/>
      <c r="G86" s="37"/>
      <c r="H86" s="17"/>
      <c r="I86" s="18"/>
      <c r="J86" s="18"/>
      <c r="K86" s="18"/>
      <c r="L86" s="18"/>
      <c r="M86" s="18"/>
    </row>
    <row r="87" spans="1:13" outlineLevel="1">
      <c r="A87" s="182"/>
      <c r="B87" s="16" t="s">
        <v>104</v>
      </c>
      <c r="C87" s="15"/>
      <c r="D87" s="15"/>
      <c r="E87" s="15"/>
      <c r="F87" s="32"/>
      <c r="G87" s="21">
        <f t="shared" ref="G87:M87" si="15">G82*(F84+F85)</f>
        <v>3581.9999999999986</v>
      </c>
      <c r="H87" s="21">
        <f t="shared" si="15"/>
        <v>3632.9999999999991</v>
      </c>
      <c r="I87" s="21">
        <f t="shared" si="15"/>
        <v>3445.5400000000004</v>
      </c>
      <c r="J87" s="21">
        <f t="shared" si="15"/>
        <v>3487.4769946500001</v>
      </c>
      <c r="K87" s="21">
        <f t="shared" si="15"/>
        <v>3522.5745197118003</v>
      </c>
      <c r="L87" s="21">
        <f t="shared" si="15"/>
        <v>3554.3918783964446</v>
      </c>
      <c r="M87" s="21">
        <f t="shared" si="15"/>
        <v>3639.1378324679717</v>
      </c>
    </row>
    <row r="88" spans="1:13" outlineLevel="1">
      <c r="A88" s="182"/>
      <c r="B88" s="16" t="s">
        <v>105</v>
      </c>
      <c r="C88" s="15"/>
      <c r="D88" s="15"/>
      <c r="E88" s="15"/>
      <c r="F88" s="32"/>
      <c r="G88" s="21">
        <f t="shared" ref="G88:M88" si="16">G83*G87</f>
        <v>3044.6999999999989</v>
      </c>
      <c r="H88" s="21">
        <f t="shared" si="16"/>
        <v>3088.0499999999993</v>
      </c>
      <c r="I88" s="21">
        <f t="shared" si="16"/>
        <v>2928.7090000000003</v>
      </c>
      <c r="J88" s="21">
        <f t="shared" si="16"/>
        <v>2964.3554454525001</v>
      </c>
      <c r="K88" s="21">
        <f t="shared" si="16"/>
        <v>2994.1883417550303</v>
      </c>
      <c r="L88" s="21">
        <f t="shared" si="16"/>
        <v>3021.2330966369777</v>
      </c>
      <c r="M88" s="21">
        <f t="shared" si="16"/>
        <v>3093.2671575977761</v>
      </c>
    </row>
    <row r="89" spans="1:13" outlineLevel="1">
      <c r="A89" s="182"/>
      <c r="B89" s="16" t="s">
        <v>106</v>
      </c>
      <c r="C89" s="15"/>
      <c r="D89" s="15"/>
      <c r="E89" s="15"/>
      <c r="F89" s="32"/>
      <c r="G89" s="21">
        <f t="shared" ref="G89:M89" si="17">G87-G88</f>
        <v>537.29999999999973</v>
      </c>
      <c r="H89" s="21">
        <f t="shared" si="17"/>
        <v>544.94999999999982</v>
      </c>
      <c r="I89" s="21">
        <f t="shared" si="17"/>
        <v>516.83100000000013</v>
      </c>
      <c r="J89" s="21">
        <f t="shared" si="17"/>
        <v>523.12154919749992</v>
      </c>
      <c r="K89" s="21">
        <f t="shared" si="17"/>
        <v>528.3861779567701</v>
      </c>
      <c r="L89" s="21">
        <f t="shared" si="17"/>
        <v>533.15878175946682</v>
      </c>
      <c r="M89" s="21">
        <f t="shared" si="17"/>
        <v>545.87067487019567</v>
      </c>
    </row>
    <row r="90" spans="1:13" outlineLevel="1">
      <c r="A90" s="182"/>
      <c r="B90" s="16"/>
      <c r="C90" s="15"/>
      <c r="D90" s="15"/>
      <c r="E90" s="15"/>
      <c r="F90" s="32"/>
      <c r="G90" s="21"/>
      <c r="H90" s="21"/>
      <c r="I90" s="21"/>
      <c r="J90" s="21"/>
      <c r="K90" s="21"/>
      <c r="L90" s="21"/>
      <c r="M90" s="21"/>
    </row>
    <row r="91" spans="1:13" outlineLevel="1">
      <c r="A91" s="182"/>
      <c r="B91" s="30"/>
      <c r="C91" s="19"/>
      <c r="D91" s="19"/>
      <c r="E91" s="19"/>
      <c r="F91" s="38"/>
      <c r="G91" s="24"/>
      <c r="H91" s="24"/>
      <c r="I91" s="24"/>
      <c r="J91" s="24"/>
      <c r="K91" s="24"/>
      <c r="L91" s="24"/>
      <c r="M91" s="24"/>
    </row>
    <row r="92" spans="1:13" outlineLevel="1">
      <c r="A92" s="190"/>
      <c r="B92" s="26" t="s">
        <v>107</v>
      </c>
      <c r="C92" s="34"/>
      <c r="D92" s="34"/>
      <c r="E92" s="34"/>
      <c r="F92" s="34"/>
      <c r="G92" s="39"/>
      <c r="H92" s="39"/>
      <c r="I92" s="39"/>
      <c r="J92" s="39"/>
      <c r="K92" s="39"/>
      <c r="L92" s="39"/>
      <c r="M92" s="39"/>
    </row>
    <row r="93" spans="1:13" outlineLevel="1">
      <c r="A93" s="182"/>
      <c r="B93" s="16" t="s">
        <v>108</v>
      </c>
      <c r="C93" s="15"/>
      <c r="D93" s="15"/>
      <c r="E93" s="15"/>
      <c r="F93" s="32"/>
      <c r="G93" s="21">
        <f t="shared" ref="G93:M93" si="18">F97</f>
        <v>30467</v>
      </c>
      <c r="H93" s="21">
        <f t="shared" si="18"/>
        <v>33706</v>
      </c>
      <c r="I93" s="21">
        <f t="shared" si="18"/>
        <v>32549</v>
      </c>
      <c r="J93" s="21">
        <f t="shared" si="18"/>
        <v>34027.226049999997</v>
      </c>
      <c r="K93" s="21">
        <f t="shared" si="18"/>
        <v>35444.6231685475</v>
      </c>
      <c r="L93" s="21">
        <f t="shared" si="18"/>
        <v>36854.096153612474</v>
      </c>
      <c r="M93" s="21">
        <f t="shared" si="18"/>
        <v>38231.019807136974</v>
      </c>
    </row>
    <row r="94" spans="1:13" outlineLevel="1">
      <c r="A94" s="182"/>
      <c r="B94" s="16" t="s">
        <v>94</v>
      </c>
      <c r="C94" s="15"/>
      <c r="D94" s="15"/>
      <c r="E94" s="15"/>
      <c r="F94" s="32"/>
      <c r="G94" s="21">
        <f t="shared" ref="G94:M94" si="19">-G76</f>
        <v>5638</v>
      </c>
      <c r="H94" s="21">
        <f t="shared" si="19"/>
        <v>4527</v>
      </c>
      <c r="I94" s="21">
        <f t="shared" si="19"/>
        <v>4406.93505</v>
      </c>
      <c r="J94" s="21">
        <f t="shared" si="19"/>
        <v>4381.7525639999994</v>
      </c>
      <c r="K94" s="21">
        <f t="shared" si="19"/>
        <v>4403.661326819999</v>
      </c>
      <c r="L94" s="21">
        <f t="shared" si="19"/>
        <v>4398.1567501614745</v>
      </c>
      <c r="M94" s="21">
        <f t="shared" si="19"/>
        <v>4521.3051391659956</v>
      </c>
    </row>
    <row r="95" spans="1:13" outlineLevel="1">
      <c r="A95" s="182"/>
      <c r="B95" s="16" t="s">
        <v>109</v>
      </c>
      <c r="C95" s="15"/>
      <c r="D95" s="15"/>
      <c r="E95" s="15"/>
      <c r="F95" s="32"/>
      <c r="G95" s="21">
        <f t="shared" ref="G95:M95" si="20">-G88</f>
        <v>-3044.6999999999989</v>
      </c>
      <c r="H95" s="21">
        <f t="shared" si="20"/>
        <v>-3088.0499999999993</v>
      </c>
      <c r="I95" s="21">
        <f t="shared" si="20"/>
        <v>-2928.7090000000003</v>
      </c>
      <c r="J95" s="21">
        <f t="shared" si="20"/>
        <v>-2964.3554454525001</v>
      </c>
      <c r="K95" s="21">
        <f t="shared" si="20"/>
        <v>-2994.1883417550303</v>
      </c>
      <c r="L95" s="21">
        <f t="shared" si="20"/>
        <v>-3021.2330966369777</v>
      </c>
      <c r="M95" s="21">
        <f t="shared" si="20"/>
        <v>-3093.2671575977761</v>
      </c>
    </row>
    <row r="96" spans="1:13" outlineLevel="1">
      <c r="A96" s="182"/>
      <c r="B96" s="277" t="s">
        <v>517</v>
      </c>
      <c r="C96" s="287"/>
      <c r="D96" s="287"/>
      <c r="E96" s="287"/>
      <c r="F96" s="288"/>
      <c r="G96" s="248">
        <f>G352-SUM(G93:G95)</f>
        <v>645.69999999999709</v>
      </c>
      <c r="H96" s="248">
        <f>H352-SUM(H93:H95)</f>
        <v>-2595.9499999999971</v>
      </c>
      <c r="I96" s="289">
        <v>0</v>
      </c>
      <c r="J96" s="289">
        <v>0</v>
      </c>
      <c r="K96" s="289">
        <v>0</v>
      </c>
      <c r="L96" s="289">
        <v>0</v>
      </c>
      <c r="M96" s="289">
        <v>0</v>
      </c>
    </row>
    <row r="97" spans="1:13" ht="17.399999999999999" outlineLevel="1" thickBot="1">
      <c r="A97" s="182"/>
      <c r="B97" s="277" t="s">
        <v>110</v>
      </c>
      <c r="C97" s="287"/>
      <c r="D97" s="287"/>
      <c r="E97" s="287"/>
      <c r="F97" s="290">
        <f>F352</f>
        <v>30467</v>
      </c>
      <c r="G97" s="290">
        <f t="shared" ref="G97:M97" si="21">SUM(G93:G96)</f>
        <v>33706</v>
      </c>
      <c r="H97" s="290">
        <f t="shared" si="21"/>
        <v>32549</v>
      </c>
      <c r="I97" s="290">
        <f t="shared" si="21"/>
        <v>34027.226049999997</v>
      </c>
      <c r="J97" s="290">
        <f t="shared" si="21"/>
        <v>35444.6231685475</v>
      </c>
      <c r="K97" s="290">
        <f t="shared" si="21"/>
        <v>36854.096153612474</v>
      </c>
      <c r="L97" s="290">
        <f t="shared" si="21"/>
        <v>38231.019807136974</v>
      </c>
      <c r="M97" s="290">
        <f t="shared" si="21"/>
        <v>39659.057788705199</v>
      </c>
    </row>
    <row r="98" spans="1:13" ht="17.399999999999999" outlineLevel="1" thickTop="1">
      <c r="A98" s="182"/>
      <c r="B98" s="287"/>
      <c r="C98" s="287"/>
      <c r="D98" s="287"/>
      <c r="E98" s="287"/>
      <c r="F98" s="291"/>
      <c r="G98" s="291"/>
      <c r="H98" s="291"/>
      <c r="I98" s="291"/>
      <c r="J98" s="291"/>
      <c r="K98" s="291"/>
      <c r="L98" s="291"/>
      <c r="M98" s="291"/>
    </row>
    <row r="99" spans="1:13" outlineLevel="1">
      <c r="A99" s="190"/>
      <c r="B99" s="292" t="s">
        <v>111</v>
      </c>
      <c r="C99" s="293"/>
      <c r="D99" s="293"/>
      <c r="E99" s="293"/>
      <c r="F99" s="293"/>
      <c r="G99" s="293"/>
      <c r="H99" s="294"/>
      <c r="I99" s="294"/>
      <c r="J99" s="294"/>
      <c r="K99" s="294"/>
      <c r="L99" s="294"/>
      <c r="M99" s="294"/>
    </row>
    <row r="100" spans="1:13" outlineLevel="1">
      <c r="A100" s="182"/>
      <c r="B100" s="277" t="s">
        <v>108</v>
      </c>
      <c r="C100" s="287"/>
      <c r="D100" s="287"/>
      <c r="E100" s="287"/>
      <c r="F100" s="288"/>
      <c r="G100" s="248">
        <f t="shared" ref="G100:M100" si="22">F104</f>
        <v>18225</v>
      </c>
      <c r="H100" s="248">
        <f t="shared" si="22"/>
        <v>19245</v>
      </c>
      <c r="I100" s="248">
        <f t="shared" si="22"/>
        <v>16673</v>
      </c>
      <c r="J100" s="248">
        <f t="shared" si="22"/>
        <v>16515.918799999999</v>
      </c>
      <c r="K100" s="248">
        <f t="shared" si="22"/>
        <v>16357.943297802498</v>
      </c>
      <c r="L100" s="248">
        <f t="shared" si="22"/>
        <v>16196.528897080727</v>
      </c>
      <c r="M100" s="248">
        <f t="shared" si="22"/>
        <v>16084.470229698421</v>
      </c>
    </row>
    <row r="101" spans="1:13" outlineLevel="1">
      <c r="A101" s="182"/>
      <c r="B101" s="277" t="s">
        <v>94</v>
      </c>
      <c r="C101" s="287"/>
      <c r="D101" s="287"/>
      <c r="E101" s="287"/>
      <c r="F101" s="288"/>
      <c r="G101" s="248">
        <f t="shared" ref="G101:M101" si="23">-G79</f>
        <v>325</v>
      </c>
      <c r="H101" s="248">
        <f t="shared" si="23"/>
        <v>384</v>
      </c>
      <c r="I101" s="248">
        <f t="shared" si="23"/>
        <v>359.74979999999999</v>
      </c>
      <c r="J101" s="248">
        <f t="shared" si="23"/>
        <v>365.14604699999995</v>
      </c>
      <c r="K101" s="248">
        <f t="shared" si="23"/>
        <v>366.97177723499993</v>
      </c>
      <c r="L101" s="248">
        <f t="shared" si="23"/>
        <v>421.10011437716241</v>
      </c>
      <c r="M101" s="248">
        <f t="shared" si="23"/>
        <v>432.89091757972295</v>
      </c>
    </row>
    <row r="102" spans="1:13" outlineLevel="1">
      <c r="A102" s="182"/>
      <c r="B102" s="277" t="s">
        <v>112</v>
      </c>
      <c r="C102" s="287"/>
      <c r="D102" s="287"/>
      <c r="E102" s="287"/>
      <c r="F102" s="288"/>
      <c r="G102" s="248">
        <f t="shared" ref="G102:M102" si="24">-G89</f>
        <v>-537.29999999999973</v>
      </c>
      <c r="H102" s="248">
        <f t="shared" si="24"/>
        <v>-544.94999999999982</v>
      </c>
      <c r="I102" s="248">
        <f t="shared" si="24"/>
        <v>-516.83100000000013</v>
      </c>
      <c r="J102" s="248">
        <f t="shared" si="24"/>
        <v>-523.12154919749992</v>
      </c>
      <c r="K102" s="248">
        <f t="shared" si="24"/>
        <v>-528.3861779567701</v>
      </c>
      <c r="L102" s="248">
        <f t="shared" si="24"/>
        <v>-533.15878175946682</v>
      </c>
      <c r="M102" s="248">
        <f t="shared" si="24"/>
        <v>-545.87067487019567</v>
      </c>
    </row>
    <row r="103" spans="1:13" outlineLevel="1">
      <c r="A103" s="182"/>
      <c r="B103" s="277" t="s">
        <v>518</v>
      </c>
      <c r="C103" s="287"/>
      <c r="D103" s="287"/>
      <c r="E103" s="287"/>
      <c r="F103" s="288"/>
      <c r="G103" s="248">
        <f>G354-SUM(G100:G102)</f>
        <v>1232.2999999999993</v>
      </c>
      <c r="H103" s="248">
        <f>H354-SUM(H100:H102)</f>
        <v>-2411.0499999999993</v>
      </c>
      <c r="I103" s="289">
        <v>0</v>
      </c>
      <c r="J103" s="289">
        <v>0</v>
      </c>
      <c r="K103" s="289">
        <v>0</v>
      </c>
      <c r="L103" s="289">
        <v>0</v>
      </c>
      <c r="M103" s="289">
        <v>0</v>
      </c>
    </row>
    <row r="104" spans="1:13" ht="17.399999999999999" outlineLevel="1" thickBot="1">
      <c r="A104" s="182"/>
      <c r="B104" s="277" t="s">
        <v>110</v>
      </c>
      <c r="C104" s="287"/>
      <c r="D104" s="287"/>
      <c r="E104" s="287"/>
      <c r="F104" s="290">
        <f>F354</f>
        <v>18225</v>
      </c>
      <c r="G104" s="290">
        <f t="shared" ref="G104:M104" si="25">SUM(G100:G103)</f>
        <v>19245</v>
      </c>
      <c r="H104" s="290">
        <f t="shared" si="25"/>
        <v>16673</v>
      </c>
      <c r="I104" s="290">
        <f t="shared" si="25"/>
        <v>16515.918799999999</v>
      </c>
      <c r="J104" s="290">
        <f t="shared" si="25"/>
        <v>16357.943297802498</v>
      </c>
      <c r="K104" s="290">
        <f t="shared" si="25"/>
        <v>16196.528897080727</v>
      </c>
      <c r="L104" s="290">
        <f t="shared" si="25"/>
        <v>16084.470229698421</v>
      </c>
      <c r="M104" s="290">
        <f t="shared" si="25"/>
        <v>15971.49047240795</v>
      </c>
    </row>
    <row r="105" spans="1:13" outlineLevel="1">
      <c r="A105" s="182"/>
      <c r="B105" s="30"/>
      <c r="C105" s="19"/>
      <c r="D105" s="19"/>
      <c r="E105" s="19"/>
      <c r="F105" s="38"/>
      <c r="G105" s="24"/>
      <c r="H105" s="24"/>
      <c r="I105" s="24"/>
      <c r="J105" s="24"/>
      <c r="K105" s="24"/>
      <c r="L105" s="24"/>
      <c r="M105" s="24"/>
    </row>
    <row r="106" spans="1:13" outlineLevel="1">
      <c r="A106" s="182"/>
      <c r="B106" s="41"/>
      <c r="C106" s="15"/>
      <c r="D106" s="15"/>
      <c r="E106" s="15"/>
      <c r="F106" s="40"/>
      <c r="G106" s="40"/>
      <c r="H106" s="40"/>
      <c r="I106" s="40"/>
      <c r="J106" s="40"/>
      <c r="K106" s="40"/>
      <c r="L106" s="40"/>
      <c r="M106" s="40"/>
    </row>
    <row r="107" spans="1:13" outlineLevel="1">
      <c r="A107" s="182"/>
      <c r="B107" s="15"/>
      <c r="C107" s="42" t="s">
        <v>51</v>
      </c>
      <c r="D107" s="43">
        <f>Input!M174</f>
        <v>0.15</v>
      </c>
      <c r="E107" s="44"/>
      <c r="F107" s="40"/>
      <c r="G107" s="40"/>
      <c r="H107" s="40"/>
      <c r="I107" s="40"/>
      <c r="J107" s="40"/>
      <c r="K107" s="40"/>
      <c r="L107" s="40"/>
      <c r="M107" s="40"/>
    </row>
    <row r="108" spans="1:13" outlineLevel="1">
      <c r="A108" s="182"/>
      <c r="B108" s="15"/>
      <c r="C108" s="45" t="s">
        <v>52</v>
      </c>
      <c r="D108" s="46">
        <f>Input!M175</f>
        <v>0.08</v>
      </c>
      <c r="E108" s="44"/>
      <c r="F108" s="40"/>
      <c r="G108" s="40"/>
      <c r="H108" s="40"/>
      <c r="I108" s="40"/>
      <c r="J108" s="40"/>
      <c r="K108" s="40"/>
      <c r="L108" s="40"/>
      <c r="M108" s="40"/>
    </row>
    <row r="109" spans="1:13" outlineLevel="1">
      <c r="A109" s="182"/>
      <c r="B109" s="41"/>
      <c r="C109" s="15"/>
      <c r="D109" s="15"/>
      <c r="E109" s="15"/>
      <c r="F109" s="40"/>
      <c r="G109" s="40"/>
      <c r="H109" s="40"/>
      <c r="I109" s="40"/>
      <c r="J109" s="40"/>
      <c r="K109" s="40"/>
      <c r="L109" s="40"/>
      <c r="M109" s="40"/>
    </row>
    <row r="110" spans="1:13" outlineLevel="1">
      <c r="A110" s="182"/>
      <c r="B110" s="26" t="s">
        <v>113</v>
      </c>
      <c r="C110" s="34"/>
      <c r="D110" s="34"/>
      <c r="E110" s="34"/>
      <c r="F110" s="34"/>
      <c r="G110" s="34"/>
      <c r="H110" s="39"/>
      <c r="I110" s="39"/>
      <c r="J110" s="39"/>
      <c r="K110" s="39"/>
      <c r="L110" s="39"/>
      <c r="M110" s="39"/>
    </row>
    <row r="111" spans="1:13" outlineLevel="1">
      <c r="A111" s="182"/>
      <c r="B111" s="16" t="s">
        <v>108</v>
      </c>
      <c r="C111" s="15"/>
      <c r="D111" s="15"/>
      <c r="E111" s="15"/>
      <c r="F111" s="32"/>
      <c r="G111" s="21"/>
      <c r="H111" s="21"/>
      <c r="I111" s="21">
        <f>H114</f>
        <v>49222</v>
      </c>
      <c r="J111" s="21">
        <f>I114</f>
        <v>49993.724631799996</v>
      </c>
      <c r="K111" s="21">
        <f>J114</f>
        <v>50684.16248892399</v>
      </c>
      <c r="L111" s="21">
        <f>K114</f>
        <v>51342.814996616413</v>
      </c>
      <c r="M111" s="21">
        <f>L114</f>
        <v>51996.815579051268</v>
      </c>
    </row>
    <row r="112" spans="1:13" outlineLevel="1">
      <c r="A112" s="182"/>
      <c r="B112" s="16" t="s">
        <v>94</v>
      </c>
      <c r="C112" s="15"/>
      <c r="D112" s="15"/>
      <c r="E112" s="15"/>
      <c r="F112" s="32"/>
      <c r="G112" s="21"/>
      <c r="H112" s="21"/>
      <c r="I112" s="248">
        <f>I94+I101</f>
        <v>4766.6848499999996</v>
      </c>
      <c r="J112" s="248">
        <f>J94+J101</f>
        <v>4746.8986109999996</v>
      </c>
      <c r="K112" s="248">
        <f>K94+K101</f>
        <v>4770.6331040549985</v>
      </c>
      <c r="L112" s="248">
        <f>L94+L101</f>
        <v>4819.2568645386373</v>
      </c>
      <c r="M112" s="248">
        <f>M94+M101</f>
        <v>4954.1960567457181</v>
      </c>
    </row>
    <row r="113" spans="1:13" outlineLevel="1">
      <c r="A113" s="182"/>
      <c r="B113" s="16" t="s">
        <v>114</v>
      </c>
      <c r="C113" s="15"/>
      <c r="D113" s="15"/>
      <c r="E113" s="15"/>
      <c r="F113" s="32"/>
      <c r="G113" s="21"/>
      <c r="H113" s="21"/>
      <c r="I113" s="21">
        <f>-(I111+I112*$D$107)*$D$108</f>
        <v>-3994.9602182000003</v>
      </c>
      <c r="J113" s="21">
        <f>-(J111+J112*$D$107)*$D$108</f>
        <v>-4056.4607538760001</v>
      </c>
      <c r="K113" s="21">
        <f>-(K111+K112*$D$107)*$D$108</f>
        <v>-4111.9805963625795</v>
      </c>
      <c r="L113" s="21">
        <f>-(L111+L112*$D$107)*$D$108</f>
        <v>-4165.2562821037764</v>
      </c>
      <c r="M113" s="21">
        <f>-(M111+M112*$D$107)*$D$108</f>
        <v>-4219.1955990050501</v>
      </c>
    </row>
    <row r="114" spans="1:13" ht="17.399999999999999" outlineLevel="1" thickBot="1">
      <c r="A114" s="182"/>
      <c r="B114" s="16" t="s">
        <v>110</v>
      </c>
      <c r="C114" s="15"/>
      <c r="D114" s="15"/>
      <c r="E114" s="15"/>
      <c r="F114" s="32"/>
      <c r="G114" s="21"/>
      <c r="H114" s="33">
        <f>Input!M176</f>
        <v>49222</v>
      </c>
      <c r="I114" s="33">
        <f>I111+I112+I113</f>
        <v>49993.724631799996</v>
      </c>
      <c r="J114" s="33">
        <f>J111+J112+J113</f>
        <v>50684.16248892399</v>
      </c>
      <c r="K114" s="33">
        <f>K111+K112+K113</f>
        <v>51342.814996616413</v>
      </c>
      <c r="L114" s="33">
        <f>L111+L112+L113</f>
        <v>51996.815579051268</v>
      </c>
      <c r="M114" s="33">
        <f>M111+M112+M113</f>
        <v>52731.816036791941</v>
      </c>
    </row>
    <row r="115" spans="1:13" ht="17.399999999999999" outlineLevel="1" thickTop="1">
      <c r="A115" s="182"/>
      <c r="B115" s="41"/>
      <c r="C115" s="15"/>
      <c r="D115" s="15"/>
      <c r="E115" s="15"/>
      <c r="F115" s="32"/>
      <c r="G115" s="21"/>
      <c r="H115" s="40"/>
      <c r="I115" s="40"/>
      <c r="J115" s="40"/>
      <c r="K115" s="40"/>
      <c r="L115" s="40"/>
      <c r="M115" s="40"/>
    </row>
    <row r="116" spans="1:13" outlineLevel="1">
      <c r="A116" s="182"/>
      <c r="B116" s="41" t="s">
        <v>115</v>
      </c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</row>
    <row r="117" spans="1:13" outlineLevel="1">
      <c r="A117" s="182"/>
      <c r="B117" s="295" t="s">
        <v>519</v>
      </c>
      <c r="C117" s="19"/>
      <c r="D117" s="19"/>
      <c r="E117" s="19"/>
      <c r="F117" s="31"/>
      <c r="G117" s="31"/>
      <c r="H117" s="31"/>
      <c r="I117" s="24"/>
      <c r="J117" s="24"/>
      <c r="K117" s="24"/>
      <c r="L117" s="24"/>
      <c r="M117" s="24"/>
    </row>
    <row r="118" spans="1:13">
      <c r="A118" s="182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</row>
    <row r="119" spans="1:13">
      <c r="A119" s="182" t="s">
        <v>61</v>
      </c>
      <c r="B119" s="8" t="s">
        <v>116</v>
      </c>
      <c r="C119" s="9"/>
      <c r="D119" s="9"/>
      <c r="E119" s="9"/>
      <c r="F119" s="10"/>
      <c r="G119" s="10"/>
      <c r="H119" s="10"/>
      <c r="I119" s="11"/>
      <c r="J119" s="11"/>
      <c r="K119" s="11"/>
      <c r="L119" s="11"/>
      <c r="M119" s="11"/>
    </row>
    <row r="120" spans="1:13" outlineLevel="1">
      <c r="A120" s="182"/>
      <c r="B120" s="16"/>
      <c r="C120" s="15"/>
      <c r="D120" s="15"/>
      <c r="E120" s="15"/>
      <c r="F120" s="15"/>
      <c r="G120" s="15"/>
      <c r="H120" s="21"/>
      <c r="I120" s="21"/>
      <c r="J120" s="21"/>
      <c r="K120" s="21"/>
      <c r="L120" s="21"/>
      <c r="M120" s="21"/>
    </row>
    <row r="121" spans="1:13" ht="17.399999999999999" outlineLevel="1" thickBot="1">
      <c r="A121" s="183"/>
      <c r="B121" s="12" t="str">
        <f>Input!$B$131</f>
        <v>All figures in CHF millions unless stated</v>
      </c>
      <c r="C121" s="7"/>
      <c r="D121" s="7"/>
      <c r="E121" s="7"/>
      <c r="F121" s="13">
        <f>F$2</f>
        <v>2023</v>
      </c>
      <c r="G121" s="13">
        <f t="shared" ref="G121:M121" si="26">G$2</f>
        <v>2024</v>
      </c>
      <c r="H121" s="13">
        <f t="shared" si="26"/>
        <v>2025</v>
      </c>
      <c r="I121" s="14">
        <f t="shared" si="26"/>
        <v>2026</v>
      </c>
      <c r="J121" s="14">
        <f t="shared" si="26"/>
        <v>2027</v>
      </c>
      <c r="K121" s="14">
        <f t="shared" si="26"/>
        <v>2028</v>
      </c>
      <c r="L121" s="14">
        <f t="shared" si="26"/>
        <v>2029</v>
      </c>
      <c r="M121" s="14">
        <f t="shared" si="26"/>
        <v>2030</v>
      </c>
    </row>
    <row r="122" spans="1:13" ht="17.399999999999999" outlineLevel="1" thickTop="1">
      <c r="A122" s="183"/>
      <c r="B122" s="12" t="str">
        <f>CONCATENATE("Model Running: ",INDEX(Input!$B$12:$B$14,Input!$D$6)," Drivers")</f>
        <v>Model Running: Base Case Drivers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</row>
    <row r="123" spans="1:13" outlineLevel="1">
      <c r="A123" s="183"/>
      <c r="B123" s="12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spans="1:13" outlineLevel="1">
      <c r="A124" s="182"/>
      <c r="B124" s="15"/>
      <c r="C124" s="16" t="s">
        <v>117</v>
      </c>
      <c r="D124" s="15"/>
      <c r="E124" s="15"/>
      <c r="F124" s="15"/>
      <c r="G124" s="15"/>
      <c r="H124" s="21"/>
      <c r="I124" s="47">
        <f>I271</f>
        <v>10861.493199999999</v>
      </c>
      <c r="J124" s="48">
        <f>J271</f>
        <v>11336.569526900024</v>
      </c>
      <c r="K124" s="48">
        <f>K271</f>
        <v>11218.997505665038</v>
      </c>
      <c r="L124" s="48">
        <f>L271</f>
        <v>11908.66389119519</v>
      </c>
      <c r="M124" s="49">
        <f>M271</f>
        <v>12610.504130850366</v>
      </c>
    </row>
    <row r="125" spans="1:13" outlineLevel="1">
      <c r="A125" s="182"/>
      <c r="B125" s="15"/>
      <c r="C125" s="16" t="s">
        <v>118</v>
      </c>
      <c r="D125" s="15"/>
      <c r="E125" s="15"/>
      <c r="F125" s="15"/>
      <c r="G125" s="15"/>
      <c r="H125" s="21"/>
      <c r="I125" s="50">
        <f>IF(I134&gt;0,1,0)</f>
        <v>1</v>
      </c>
      <c r="J125" s="51">
        <f>IF(J134&gt;0,1,0)</f>
        <v>1</v>
      </c>
      <c r="K125" s="51">
        <f>IF(K134&gt;0,1,0)</f>
        <v>1</v>
      </c>
      <c r="L125" s="51">
        <f>IF(L134&gt;0,1,0)</f>
        <v>1</v>
      </c>
      <c r="M125" s="52">
        <f>IF(M134&gt;0,1,0)</f>
        <v>1</v>
      </c>
    </row>
    <row r="126" spans="1:13" outlineLevel="1">
      <c r="A126" s="182"/>
      <c r="B126" s="15"/>
      <c r="C126" s="16"/>
      <c r="D126" s="15"/>
      <c r="E126" s="15"/>
      <c r="F126" s="15"/>
      <c r="G126" s="15"/>
      <c r="H126" s="21"/>
      <c r="I126" s="21"/>
      <c r="J126" s="21"/>
      <c r="K126" s="21"/>
      <c r="L126" s="21"/>
      <c r="M126" s="21"/>
    </row>
    <row r="127" spans="1:13" outlineLevel="1">
      <c r="A127" s="182"/>
      <c r="B127" s="15"/>
      <c r="C127" s="42" t="s">
        <v>49</v>
      </c>
      <c r="D127" s="43">
        <f>Input!$M$173</f>
        <v>0.23499999999999999</v>
      </c>
      <c r="E127" s="44"/>
      <c r="F127" s="15"/>
      <c r="G127" s="15"/>
      <c r="H127" s="21"/>
      <c r="I127" s="21"/>
      <c r="J127" s="21"/>
      <c r="K127" s="21"/>
      <c r="L127" s="21"/>
      <c r="M127" s="21"/>
    </row>
    <row r="128" spans="1:13" outlineLevel="1">
      <c r="A128" s="182"/>
      <c r="B128" s="15"/>
      <c r="C128" s="45" t="s">
        <v>119</v>
      </c>
      <c r="D128" s="53">
        <f>IF(M145=0,0,1)</f>
        <v>0</v>
      </c>
      <c r="E128" s="54"/>
      <c r="F128" s="15"/>
      <c r="G128" s="15"/>
      <c r="H128" s="21"/>
      <c r="I128" s="21"/>
      <c r="J128" s="21"/>
      <c r="K128" s="21"/>
      <c r="L128" s="21"/>
      <c r="M128" s="21"/>
    </row>
    <row r="129" spans="1:13" outlineLevel="1">
      <c r="A129" s="182"/>
      <c r="B129" s="16"/>
      <c r="C129" s="15"/>
      <c r="D129" s="15"/>
      <c r="E129" s="15"/>
      <c r="F129" s="15"/>
      <c r="G129" s="15"/>
      <c r="H129" s="21"/>
      <c r="I129" s="21"/>
      <c r="J129" s="21"/>
      <c r="K129" s="21"/>
      <c r="L129" s="21"/>
      <c r="M129" s="21"/>
    </row>
    <row r="130" spans="1:13" outlineLevel="1">
      <c r="A130" s="182"/>
      <c r="B130" s="55" t="s">
        <v>120</v>
      </c>
      <c r="C130" s="15"/>
      <c r="D130" s="15"/>
      <c r="E130" s="15"/>
      <c r="F130" s="15"/>
      <c r="G130" s="15"/>
      <c r="H130" s="21"/>
      <c r="I130" s="21"/>
      <c r="J130" s="21"/>
      <c r="K130" s="21"/>
      <c r="L130" s="21"/>
      <c r="M130" s="21"/>
    </row>
    <row r="131" spans="1:13" outlineLevel="1">
      <c r="A131" s="182"/>
      <c r="B131" s="16" t="s">
        <v>117</v>
      </c>
      <c r="C131" s="15"/>
      <c r="D131" s="15"/>
      <c r="E131" s="15"/>
      <c r="F131" s="15"/>
      <c r="G131" s="15"/>
      <c r="H131" s="21"/>
      <c r="I131" s="21">
        <f>I124</f>
        <v>10861.493199999999</v>
      </c>
      <c r="J131" s="21">
        <f>J124</f>
        <v>11336.569526900024</v>
      </c>
      <c r="K131" s="21">
        <f>K124</f>
        <v>11218.997505665038</v>
      </c>
      <c r="L131" s="21">
        <f>L124</f>
        <v>11908.66389119519</v>
      </c>
      <c r="M131" s="21">
        <f>M124</f>
        <v>12610.504130850366</v>
      </c>
    </row>
    <row r="132" spans="1:13" outlineLevel="1">
      <c r="A132" s="182"/>
      <c r="B132" s="16" t="s">
        <v>121</v>
      </c>
      <c r="C132" s="15"/>
      <c r="D132" s="15"/>
      <c r="E132" s="15"/>
      <c r="F132" s="15"/>
      <c r="G132" s="15"/>
      <c r="H132" s="21"/>
      <c r="I132" s="248">
        <f>I87</f>
        <v>3445.5400000000004</v>
      </c>
      <c r="J132" s="248">
        <f>J87</f>
        <v>3487.4769946500001</v>
      </c>
      <c r="K132" s="248">
        <f>K87</f>
        <v>3522.5745197118003</v>
      </c>
      <c r="L132" s="248">
        <f>L87</f>
        <v>3554.3918783964446</v>
      </c>
      <c r="M132" s="248">
        <f>M87</f>
        <v>3639.1378324679717</v>
      </c>
    </row>
    <row r="133" spans="1:13" outlineLevel="1">
      <c r="A133" s="182"/>
      <c r="B133" s="16" t="s">
        <v>122</v>
      </c>
      <c r="C133" s="15"/>
      <c r="D133" s="15"/>
      <c r="E133" s="15"/>
      <c r="F133" s="15"/>
      <c r="G133" s="15"/>
      <c r="H133" s="21"/>
      <c r="I133" s="24">
        <f>I113</f>
        <v>-3994.9602182000003</v>
      </c>
      <c r="J133" s="24">
        <f>J113</f>
        <v>-4056.4607538760001</v>
      </c>
      <c r="K133" s="24">
        <f>K113</f>
        <v>-4111.9805963625795</v>
      </c>
      <c r="L133" s="24">
        <f>L113</f>
        <v>-4165.2562821037764</v>
      </c>
      <c r="M133" s="24">
        <f>M113</f>
        <v>-4219.1955990050501</v>
      </c>
    </row>
    <row r="134" spans="1:13" outlineLevel="1">
      <c r="A134" s="182"/>
      <c r="B134" s="16" t="s">
        <v>123</v>
      </c>
      <c r="C134" s="15"/>
      <c r="D134" s="15"/>
      <c r="E134" s="15"/>
      <c r="F134" s="15"/>
      <c r="G134" s="15"/>
      <c r="H134" s="21"/>
      <c r="I134" s="21">
        <f>SUM(I131:I133)</f>
        <v>10312.0729818</v>
      </c>
      <c r="J134" s="21">
        <f>SUM(J131:J133)</f>
        <v>10767.585767674023</v>
      </c>
      <c r="K134" s="21">
        <f>SUM(K131:K133)</f>
        <v>10629.591429014257</v>
      </c>
      <c r="L134" s="21">
        <f>SUM(L131:L133)</f>
        <v>11297.79948748786</v>
      </c>
      <c r="M134" s="21">
        <f>SUM(M131:M133)</f>
        <v>12030.446364313288</v>
      </c>
    </row>
    <row r="135" spans="1:13" outlineLevel="1">
      <c r="A135" s="182"/>
      <c r="B135" s="16"/>
      <c r="C135" s="15"/>
      <c r="D135" s="15"/>
      <c r="E135" s="15"/>
      <c r="F135" s="15"/>
      <c r="G135" s="15"/>
      <c r="H135" s="21"/>
      <c r="I135" s="21"/>
      <c r="J135" s="21"/>
      <c r="K135" s="21"/>
      <c r="L135" s="21"/>
      <c r="M135" s="21"/>
    </row>
    <row r="136" spans="1:13" outlineLevel="1">
      <c r="A136" s="182"/>
      <c r="B136" s="56" t="s">
        <v>411</v>
      </c>
      <c r="C136" s="15"/>
      <c r="D136" s="15"/>
      <c r="E136" s="15"/>
      <c r="F136" s="15"/>
      <c r="G136" s="15"/>
      <c r="H136" s="21"/>
      <c r="I136" s="21"/>
      <c r="J136" s="21"/>
      <c r="K136" s="21"/>
      <c r="L136" s="21"/>
      <c r="M136" s="21"/>
    </row>
    <row r="137" spans="1:13" outlineLevel="1">
      <c r="A137" s="182"/>
      <c r="B137" s="16" t="s">
        <v>123</v>
      </c>
      <c r="C137" s="15"/>
      <c r="D137" s="15"/>
      <c r="E137" s="15"/>
      <c r="F137" s="15"/>
      <c r="G137" s="15"/>
      <c r="H137" s="21"/>
      <c r="I137" s="21">
        <f>I134</f>
        <v>10312.0729818</v>
      </c>
      <c r="J137" s="21">
        <f>J134</f>
        <v>10767.585767674023</v>
      </c>
      <c r="K137" s="21">
        <f>K134</f>
        <v>10629.591429014257</v>
      </c>
      <c r="L137" s="21">
        <f>L134</f>
        <v>11297.79948748786</v>
      </c>
      <c r="M137" s="21">
        <f>M134</f>
        <v>12030.446364313288</v>
      </c>
    </row>
    <row r="138" spans="1:13" outlineLevel="1">
      <c r="A138" s="182"/>
      <c r="B138" s="57" t="s">
        <v>412</v>
      </c>
      <c r="C138" s="15"/>
      <c r="D138" s="15"/>
      <c r="E138" s="15"/>
      <c r="F138" s="15"/>
      <c r="G138" s="15"/>
      <c r="H138" s="21"/>
      <c r="I138" s="24">
        <f>I144</f>
        <v>0</v>
      </c>
      <c r="J138" s="24">
        <f>J144</f>
        <v>0</v>
      </c>
      <c r="K138" s="24">
        <f>K144</f>
        <v>0</v>
      </c>
      <c r="L138" s="24">
        <f>L144</f>
        <v>0</v>
      </c>
      <c r="M138" s="24">
        <f>M144</f>
        <v>0</v>
      </c>
    </row>
    <row r="139" spans="1:13" outlineLevel="1">
      <c r="A139" s="182"/>
      <c r="B139" s="16" t="s">
        <v>125</v>
      </c>
      <c r="C139" s="15"/>
      <c r="D139" s="15"/>
      <c r="E139" s="15"/>
      <c r="F139" s="15"/>
      <c r="G139" s="15"/>
      <c r="H139" s="21"/>
      <c r="I139" s="21">
        <f>MAX(SUM(I137:I138),0)</f>
        <v>10312.0729818</v>
      </c>
      <c r="J139" s="21">
        <f>MAX(SUM(J137:J138),0)</f>
        <v>10767.585767674023</v>
      </c>
      <c r="K139" s="21">
        <f>MAX(SUM(K137:K138),0)</f>
        <v>10629.591429014257</v>
      </c>
      <c r="L139" s="21">
        <f>MAX(SUM(L137:L138),0)</f>
        <v>11297.79948748786</v>
      </c>
      <c r="M139" s="21">
        <f>MAX(SUM(M137:M138),0)</f>
        <v>12030.446364313288</v>
      </c>
    </row>
    <row r="140" spans="1:13" outlineLevel="1">
      <c r="A140" s="182"/>
      <c r="B140" s="16"/>
      <c r="C140" s="15"/>
      <c r="D140" s="15"/>
      <c r="E140" s="15"/>
      <c r="F140" s="15"/>
      <c r="G140" s="15"/>
      <c r="H140" s="21"/>
      <c r="I140" s="21"/>
      <c r="J140" s="21"/>
      <c r="K140" s="21"/>
      <c r="L140" s="21"/>
      <c r="M140" s="21"/>
    </row>
    <row r="141" spans="1:13" outlineLevel="1">
      <c r="A141" s="182"/>
      <c r="B141" s="55" t="s">
        <v>126</v>
      </c>
      <c r="C141" s="15"/>
      <c r="D141" s="15"/>
      <c r="E141" s="15"/>
      <c r="F141" s="15"/>
      <c r="G141" s="15"/>
      <c r="H141" s="21"/>
      <c r="I141" s="21"/>
      <c r="J141" s="21"/>
      <c r="K141" s="21"/>
      <c r="L141" s="21"/>
      <c r="M141" s="21"/>
    </row>
    <row r="142" spans="1:13" outlineLevel="1">
      <c r="A142" s="182"/>
      <c r="B142" s="16" t="s">
        <v>108</v>
      </c>
      <c r="C142" s="15"/>
      <c r="D142" s="15"/>
      <c r="E142" s="15"/>
      <c r="F142" s="15"/>
      <c r="G142" s="15"/>
      <c r="H142" s="21"/>
      <c r="I142" s="21">
        <f>H145</f>
        <v>0</v>
      </c>
      <c r="J142" s="21">
        <f>I145</f>
        <v>0</v>
      </c>
      <c r="K142" s="21">
        <f>J145</f>
        <v>0</v>
      </c>
      <c r="L142" s="21">
        <f>K145</f>
        <v>0</v>
      </c>
      <c r="M142" s="21">
        <f>L145</f>
        <v>0</v>
      </c>
    </row>
    <row r="143" spans="1:13" outlineLevel="1">
      <c r="A143" s="182"/>
      <c r="B143" s="16" t="s">
        <v>127</v>
      </c>
      <c r="C143" s="15"/>
      <c r="D143" s="15"/>
      <c r="E143" s="15"/>
      <c r="F143" s="15"/>
      <c r="G143" s="15"/>
      <c r="H143" s="21"/>
      <c r="I143" s="248">
        <f>-MIN(I134,0)</f>
        <v>0</v>
      </c>
      <c r="J143" s="248">
        <f>-MIN(J134,0)</f>
        <v>0</v>
      </c>
      <c r="K143" s="248">
        <f>-MIN(K134,0)</f>
        <v>0</v>
      </c>
      <c r="L143" s="248">
        <f>-MIN(L134,0)</f>
        <v>0</v>
      </c>
      <c r="M143" s="248">
        <f>-MIN(M134,0)</f>
        <v>0</v>
      </c>
    </row>
    <row r="144" spans="1:13" outlineLevel="1">
      <c r="A144" s="182"/>
      <c r="B144" s="16" t="s">
        <v>124</v>
      </c>
      <c r="C144" s="15"/>
      <c r="D144" s="15"/>
      <c r="E144" s="15"/>
      <c r="F144" s="15"/>
      <c r="G144" s="15"/>
      <c r="H144" s="24"/>
      <c r="I144" s="24">
        <f>-MIN(I142,I137)*I125</f>
        <v>0</v>
      </c>
      <c r="J144" s="24">
        <f>-MIN(J142,J137)*J125</f>
        <v>0</v>
      </c>
      <c r="K144" s="24">
        <f>-MIN(K142,K137)*K125</f>
        <v>0</v>
      </c>
      <c r="L144" s="24">
        <f>-MIN(L142,L137)*L125</f>
        <v>0</v>
      </c>
      <c r="M144" s="24">
        <f>-MIN(M142,M137)*M125</f>
        <v>0</v>
      </c>
    </row>
    <row r="145" spans="1:13" outlineLevel="1">
      <c r="A145" s="182"/>
      <c r="B145" s="16" t="s">
        <v>110</v>
      </c>
      <c r="C145" s="15"/>
      <c r="D145" s="15"/>
      <c r="E145" s="15"/>
      <c r="F145" s="15"/>
      <c r="G145" s="15"/>
      <c r="H145" s="21">
        <f>Input!M177</f>
        <v>0</v>
      </c>
      <c r="I145" s="21">
        <f>SUM(I142:I144)</f>
        <v>0</v>
      </c>
      <c r="J145" s="21">
        <f>SUM(J142:J144)</f>
        <v>0</v>
      </c>
      <c r="K145" s="21">
        <f>SUM(K142:K144)</f>
        <v>0</v>
      </c>
      <c r="L145" s="21">
        <f>SUM(L142:L144)</f>
        <v>0</v>
      </c>
      <c r="M145" s="21">
        <f>SUM(M142:M144)</f>
        <v>0</v>
      </c>
    </row>
    <row r="146" spans="1:13" outlineLevel="1">
      <c r="A146" s="182"/>
      <c r="B146" s="16"/>
      <c r="C146" s="15"/>
      <c r="D146" s="15"/>
      <c r="E146" s="15"/>
      <c r="F146" s="15"/>
      <c r="G146" s="15"/>
      <c r="H146" s="21"/>
      <c r="I146" s="21"/>
      <c r="J146" s="21"/>
      <c r="K146" s="21"/>
      <c r="L146" s="21"/>
      <c r="M146" s="21"/>
    </row>
    <row r="147" spans="1:13" outlineLevel="1">
      <c r="A147" s="182"/>
      <c r="B147" s="16"/>
      <c r="C147" s="15"/>
      <c r="D147" s="15"/>
      <c r="E147" s="15"/>
      <c r="F147" s="15"/>
      <c r="G147" s="15"/>
      <c r="H147" s="21"/>
      <c r="I147" s="21"/>
      <c r="J147" s="21"/>
      <c r="K147" s="21"/>
      <c r="L147" s="21"/>
      <c r="M147" s="58" t="s">
        <v>413</v>
      </c>
    </row>
    <row r="148" spans="1:13" outlineLevel="1">
      <c r="A148" s="182"/>
      <c r="B148" s="16"/>
      <c r="C148" s="15"/>
      <c r="D148" s="15"/>
      <c r="E148" s="15"/>
      <c r="F148" s="15"/>
      <c r="G148" s="15"/>
      <c r="H148" s="21"/>
      <c r="I148" s="21"/>
      <c r="J148" s="21"/>
      <c r="K148" s="21"/>
      <c r="L148" s="21"/>
      <c r="M148" s="59" t="s">
        <v>414</v>
      </c>
    </row>
    <row r="149" spans="1:13" outlineLevel="1">
      <c r="A149" s="182"/>
      <c r="B149" s="30"/>
      <c r="C149" s="19"/>
      <c r="D149" s="19"/>
      <c r="E149" s="19"/>
      <c r="F149" s="19"/>
      <c r="G149" s="19"/>
      <c r="H149" s="24"/>
      <c r="I149" s="24"/>
      <c r="J149" s="24"/>
      <c r="K149" s="24"/>
      <c r="L149" s="24"/>
      <c r="M149" s="24"/>
    </row>
    <row r="150" spans="1:13">
      <c r="A150" s="182"/>
      <c r="B150" s="16"/>
      <c r="C150" s="15"/>
      <c r="D150" s="15"/>
      <c r="E150" s="15"/>
      <c r="F150" s="15"/>
      <c r="G150" s="15"/>
      <c r="H150" s="21"/>
      <c r="I150" s="21"/>
      <c r="J150" s="21"/>
      <c r="K150" s="21"/>
      <c r="L150" s="21"/>
      <c r="M150" s="21"/>
    </row>
    <row r="151" spans="1:13">
      <c r="A151" s="182" t="s">
        <v>61</v>
      </c>
      <c r="B151" s="8" t="s">
        <v>128</v>
      </c>
      <c r="C151" s="9"/>
      <c r="D151" s="9"/>
      <c r="E151" s="9"/>
      <c r="F151" s="10"/>
      <c r="G151" s="10"/>
      <c r="H151" s="10"/>
      <c r="I151" s="11"/>
      <c r="J151" s="11"/>
      <c r="K151" s="11"/>
      <c r="L151" s="11"/>
      <c r="M151" s="11"/>
    </row>
    <row r="152" spans="1:13" outlineLevel="1">
      <c r="A152" s="182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</row>
    <row r="153" spans="1:13" ht="17.399999999999999" outlineLevel="1" thickBot="1">
      <c r="A153" s="183"/>
      <c r="B153" s="12" t="str">
        <f>Input!$B$131</f>
        <v>All figures in CHF millions unless stated</v>
      </c>
      <c r="C153" s="7"/>
      <c r="D153" s="7"/>
      <c r="E153" s="7"/>
      <c r="F153" s="13">
        <f>F$2</f>
        <v>2023</v>
      </c>
      <c r="G153" s="13">
        <f t="shared" ref="G153:M153" si="27">G$2</f>
        <v>2024</v>
      </c>
      <c r="H153" s="13">
        <f t="shared" si="27"/>
        <v>2025</v>
      </c>
      <c r="I153" s="14">
        <f t="shared" si="27"/>
        <v>2026</v>
      </c>
      <c r="J153" s="14">
        <f t="shared" si="27"/>
        <v>2027</v>
      </c>
      <c r="K153" s="14">
        <f t="shared" si="27"/>
        <v>2028</v>
      </c>
      <c r="L153" s="14">
        <f t="shared" si="27"/>
        <v>2029</v>
      </c>
      <c r="M153" s="14">
        <f t="shared" si="27"/>
        <v>2030</v>
      </c>
    </row>
    <row r="154" spans="1:13" ht="17.399999999999999" outlineLevel="1" thickTop="1">
      <c r="A154" s="183"/>
      <c r="B154" s="12" t="str">
        <f>CONCATENATE("Model Running: ",INDEX(Input!$B$12:$B$14,Input!$D$6)," Drivers")</f>
        <v>Model Running: Base Case Drivers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 spans="1:13" outlineLevel="1">
      <c r="A155" s="182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</row>
    <row r="156" spans="1:13" outlineLevel="1">
      <c r="A156" s="182"/>
      <c r="B156" s="15" t="s">
        <v>38</v>
      </c>
      <c r="C156" s="15"/>
      <c r="D156" s="15"/>
      <c r="E156" s="15"/>
      <c r="F156" s="15"/>
      <c r="G156" s="60">
        <f t="shared" ref="G156:M156" si="28">G33</f>
        <v>5.7992053789731102E-2</v>
      </c>
      <c r="H156" s="60">
        <f t="shared" si="28"/>
        <v>0.19223788915258999</v>
      </c>
      <c r="I156" s="60">
        <f t="shared" si="28"/>
        <v>6.5000000000000002E-2</v>
      </c>
      <c r="J156" s="60">
        <f t="shared" si="28"/>
        <v>0.06</v>
      </c>
      <c r="K156" s="60">
        <f t="shared" si="28"/>
        <v>0.06</v>
      </c>
      <c r="L156" s="60">
        <f t="shared" si="28"/>
        <v>0.06</v>
      </c>
      <c r="M156" s="60">
        <f t="shared" si="28"/>
        <v>0.06</v>
      </c>
    </row>
    <row r="157" spans="1:13" outlineLevel="1">
      <c r="A157" s="182"/>
      <c r="B157" s="15" t="s">
        <v>129</v>
      </c>
      <c r="C157" s="15"/>
      <c r="D157" s="15"/>
      <c r="E157" s="15"/>
      <c r="F157" s="40">
        <f t="shared" ref="F157:M157" si="29">F355</f>
        <v>13088</v>
      </c>
      <c r="G157" s="40">
        <f t="shared" si="29"/>
        <v>14326</v>
      </c>
      <c r="H157" s="40">
        <f t="shared" si="29"/>
        <v>12096</v>
      </c>
      <c r="I157" s="40">
        <f t="shared" si="29"/>
        <v>12487.050000000001</v>
      </c>
      <c r="J157" s="40">
        <f t="shared" si="29"/>
        <v>12962.208600000002</v>
      </c>
      <c r="K157" s="40">
        <f t="shared" si="29"/>
        <v>13457.832948000001</v>
      </c>
      <c r="L157" s="40">
        <f t="shared" si="29"/>
        <v>13987.387678320001</v>
      </c>
      <c r="M157" s="40">
        <f t="shared" si="29"/>
        <v>14552.020360180801</v>
      </c>
    </row>
    <row r="158" spans="1:13" outlineLevel="1">
      <c r="A158" s="182"/>
      <c r="B158" s="15" t="s">
        <v>130</v>
      </c>
      <c r="C158" s="15"/>
      <c r="D158" s="15"/>
      <c r="E158" s="15"/>
      <c r="F158" s="15"/>
      <c r="G158" s="40">
        <f t="shared" ref="G158:M158" si="30">G274</f>
        <v>1249</v>
      </c>
      <c r="H158" s="40">
        <f t="shared" si="30"/>
        <v>1143</v>
      </c>
      <c r="I158" s="40">
        <f t="shared" si="30"/>
        <v>1177.29</v>
      </c>
      <c r="J158" s="40">
        <f t="shared" si="30"/>
        <v>1224.3815999999999</v>
      </c>
      <c r="K158" s="40">
        <f t="shared" si="30"/>
        <v>1273.3568640000001</v>
      </c>
      <c r="L158" s="40">
        <f t="shared" si="30"/>
        <v>1337.0247072000002</v>
      </c>
      <c r="M158" s="40">
        <f t="shared" si="30"/>
        <v>1403.8759425600003</v>
      </c>
    </row>
    <row r="159" spans="1:13" outlineLevel="1">
      <c r="A159" s="182"/>
      <c r="B159" s="15" t="s">
        <v>131</v>
      </c>
      <c r="C159" s="15"/>
      <c r="D159" s="15"/>
      <c r="E159" s="15"/>
      <c r="F159" s="15"/>
      <c r="G159" s="291">
        <f>-G309</f>
        <v>532</v>
      </c>
      <c r="H159" s="291">
        <f t="shared" ref="H159:M159" si="31">-H309</f>
        <v>-208</v>
      </c>
      <c r="I159" s="291">
        <f t="shared" si="31"/>
        <v>0</v>
      </c>
      <c r="J159" s="291">
        <f t="shared" si="31"/>
        <v>0</v>
      </c>
      <c r="K159" s="291">
        <f t="shared" si="31"/>
        <v>0</v>
      </c>
      <c r="L159" s="291">
        <f t="shared" si="31"/>
        <v>0</v>
      </c>
      <c r="M159" s="291">
        <f t="shared" si="31"/>
        <v>0</v>
      </c>
    </row>
    <row r="160" spans="1:13" outlineLevel="1">
      <c r="A160" s="182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</row>
    <row r="161" spans="1:13" outlineLevel="1">
      <c r="A161" s="182"/>
      <c r="B161" s="16" t="s">
        <v>38</v>
      </c>
      <c r="C161" s="15"/>
      <c r="D161" s="15"/>
      <c r="E161" s="15"/>
      <c r="F161" s="32"/>
      <c r="G161" s="47">
        <f>G156*F157</f>
        <v>759.00000000000068</v>
      </c>
      <c r="H161" s="48">
        <f t="shared" ref="H161:M161" si="32">H156*G157</f>
        <v>2754.0000000000041</v>
      </c>
      <c r="I161" s="48">
        <f t="shared" si="32"/>
        <v>786.24</v>
      </c>
      <c r="J161" s="48">
        <f t="shared" si="32"/>
        <v>749.22300000000007</v>
      </c>
      <c r="K161" s="48">
        <f t="shared" si="32"/>
        <v>777.73251600000003</v>
      </c>
      <c r="L161" s="48">
        <f t="shared" si="32"/>
        <v>807.46997687999999</v>
      </c>
      <c r="M161" s="49">
        <f t="shared" si="32"/>
        <v>839.24326069920005</v>
      </c>
    </row>
    <row r="162" spans="1:13" outlineLevel="1">
      <c r="A162" s="182"/>
      <c r="B162" s="16" t="s">
        <v>132</v>
      </c>
      <c r="C162" s="15"/>
      <c r="D162" s="15"/>
      <c r="E162" s="15"/>
      <c r="F162" s="32"/>
      <c r="G162" s="23">
        <f>F157+G158-G161+G159</f>
        <v>14110</v>
      </c>
      <c r="H162" s="24">
        <f t="shared" ref="H162:M162" si="33">G157+H158-H161+H159</f>
        <v>12506.999999999996</v>
      </c>
      <c r="I162" s="24">
        <f t="shared" si="33"/>
        <v>12487.050000000001</v>
      </c>
      <c r="J162" s="24">
        <f t="shared" si="33"/>
        <v>12962.208600000002</v>
      </c>
      <c r="K162" s="24">
        <f t="shared" si="33"/>
        <v>13457.832948000001</v>
      </c>
      <c r="L162" s="24">
        <f t="shared" si="33"/>
        <v>13987.387678320001</v>
      </c>
      <c r="M162" s="25">
        <f t="shared" si="33"/>
        <v>14552.020360180801</v>
      </c>
    </row>
    <row r="163" spans="1:13" outlineLevel="1">
      <c r="A163" s="182"/>
      <c r="B163" s="30"/>
      <c r="C163" s="19"/>
      <c r="D163" s="19"/>
      <c r="E163" s="19"/>
      <c r="F163" s="31"/>
      <c r="G163" s="31"/>
      <c r="H163" s="31"/>
      <c r="I163" s="24"/>
      <c r="J163" s="24"/>
      <c r="K163" s="24"/>
      <c r="L163" s="24"/>
      <c r="M163" s="24"/>
    </row>
    <row r="164" spans="1:13">
      <c r="A164" s="182"/>
      <c r="B164" s="15"/>
      <c r="C164" s="15"/>
      <c r="D164" s="15"/>
      <c r="E164" s="15"/>
      <c r="F164" s="15"/>
      <c r="G164" s="40"/>
      <c r="H164" s="40"/>
      <c r="I164" s="40"/>
      <c r="J164" s="40"/>
      <c r="K164" s="40"/>
      <c r="L164" s="40"/>
      <c r="M164" s="40"/>
    </row>
    <row r="165" spans="1:13">
      <c r="A165" s="182" t="s">
        <v>61</v>
      </c>
      <c r="B165" s="8" t="s">
        <v>133</v>
      </c>
      <c r="C165" s="9"/>
      <c r="D165" s="9"/>
      <c r="E165" s="9"/>
      <c r="F165" s="10"/>
      <c r="G165" s="10"/>
      <c r="H165" s="10"/>
      <c r="I165" s="11"/>
      <c r="J165" s="11"/>
      <c r="K165" s="11"/>
      <c r="L165" s="11"/>
      <c r="M165" s="11"/>
    </row>
    <row r="166" spans="1:13" outlineLevel="1">
      <c r="A166" s="182"/>
      <c r="B166" s="16"/>
      <c r="C166" s="15"/>
      <c r="D166" s="15"/>
      <c r="E166" s="15"/>
      <c r="F166" s="15"/>
      <c r="G166" s="17"/>
      <c r="H166" s="17"/>
      <c r="I166" s="55"/>
      <c r="J166" s="55"/>
      <c r="K166" s="55"/>
      <c r="L166" s="55"/>
      <c r="M166" s="55"/>
    </row>
    <row r="167" spans="1:13" ht="17.399999999999999" outlineLevel="1" thickBot="1">
      <c r="A167" s="183"/>
      <c r="B167" s="12" t="str">
        <f>Input!$B$131</f>
        <v>All figures in CHF millions unless stated</v>
      </c>
      <c r="C167" s="7"/>
      <c r="D167" s="7"/>
      <c r="E167" s="7"/>
      <c r="F167" s="13">
        <f>F$2</f>
        <v>2023</v>
      </c>
      <c r="G167" s="13">
        <f t="shared" ref="G167:M167" si="34">G$2</f>
        <v>2024</v>
      </c>
      <c r="H167" s="13">
        <f t="shared" si="34"/>
        <v>2025</v>
      </c>
      <c r="I167" s="14">
        <f t="shared" si="34"/>
        <v>2026</v>
      </c>
      <c r="J167" s="14">
        <f t="shared" si="34"/>
        <v>2027</v>
      </c>
      <c r="K167" s="14">
        <f t="shared" si="34"/>
        <v>2028</v>
      </c>
      <c r="L167" s="14">
        <f t="shared" si="34"/>
        <v>2029</v>
      </c>
      <c r="M167" s="14">
        <f t="shared" si="34"/>
        <v>2030</v>
      </c>
    </row>
    <row r="168" spans="1:13" ht="17.399999999999999" outlineLevel="1" thickTop="1">
      <c r="A168" s="183"/>
      <c r="B168" s="12" t="str">
        <f>CONCATENATE("Model Running: ",INDEX(Input!$B$12:$B$14,Input!$D$6)," Drivers")</f>
        <v>Model Running: Base Case Drivers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 spans="1:13" outlineLevel="1">
      <c r="A169" s="182"/>
      <c r="B169" s="16"/>
      <c r="C169" s="15"/>
      <c r="D169" s="15"/>
      <c r="E169" s="15"/>
      <c r="F169" s="15"/>
      <c r="G169" s="17"/>
      <c r="H169" s="17"/>
      <c r="I169" s="55"/>
      <c r="J169" s="55"/>
      <c r="K169" s="55"/>
      <c r="L169" s="55"/>
      <c r="M169" s="55"/>
    </row>
    <row r="170" spans="1:13" outlineLevel="1">
      <c r="A170" s="191"/>
      <c r="B170" s="55" t="s">
        <v>134</v>
      </c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</row>
    <row r="171" spans="1:13" outlineLevel="1">
      <c r="A171" s="182"/>
      <c r="B171" s="16" t="s">
        <v>135</v>
      </c>
      <c r="C171" s="15"/>
      <c r="D171" s="15"/>
      <c r="E171" s="15"/>
      <c r="F171" s="32"/>
      <c r="G171" s="21">
        <f t="shared" ref="G171:M171" si="35">F341+F342</f>
        <v>5851</v>
      </c>
      <c r="H171" s="21">
        <f t="shared" si="35"/>
        <v>7871</v>
      </c>
      <c r="I171" s="21">
        <f t="shared" si="35"/>
        <v>6230</v>
      </c>
      <c r="J171" s="21">
        <f t="shared" si="35"/>
        <v>5861.2724180007335</v>
      </c>
      <c r="K171" s="21">
        <f t="shared" si="35"/>
        <v>6411.177207196064</v>
      </c>
      <c r="L171" s="21">
        <f t="shared" si="35"/>
        <v>7456.7479694913472</v>
      </c>
      <c r="M171" s="21">
        <f t="shared" si="35"/>
        <v>9219.1546290048173</v>
      </c>
    </row>
    <row r="172" spans="1:13" outlineLevel="1">
      <c r="A172" s="182"/>
      <c r="B172" s="16" t="s">
        <v>42</v>
      </c>
      <c r="C172" s="15"/>
      <c r="D172" s="15"/>
      <c r="E172" s="15"/>
      <c r="F172" s="32"/>
      <c r="G172" s="21">
        <f t="shared" ref="G172:M172" si="36">G173-G171</f>
        <v>2020</v>
      </c>
      <c r="H172" s="21">
        <f t="shared" si="36"/>
        <v>-1641</v>
      </c>
      <c r="I172" s="21">
        <f t="shared" si="36"/>
        <v>-368.72758199926648</v>
      </c>
      <c r="J172" s="21">
        <f t="shared" si="36"/>
        <v>549.90478919533052</v>
      </c>
      <c r="K172" s="21">
        <f t="shared" si="36"/>
        <v>1045.5707622952832</v>
      </c>
      <c r="L172" s="21">
        <f t="shared" si="36"/>
        <v>1762.40665951347</v>
      </c>
      <c r="M172" s="21">
        <f t="shared" si="36"/>
        <v>-163.78352495446961</v>
      </c>
    </row>
    <row r="173" spans="1:13" outlineLevel="1">
      <c r="A173" s="182"/>
      <c r="B173" s="16" t="s">
        <v>136</v>
      </c>
      <c r="C173" s="15"/>
      <c r="D173" s="15"/>
      <c r="E173" s="15"/>
      <c r="F173" s="32"/>
      <c r="G173" s="21">
        <f t="shared" ref="G173:M173" si="37">G341+G342</f>
        <v>7871</v>
      </c>
      <c r="H173" s="21">
        <f t="shared" si="37"/>
        <v>6230</v>
      </c>
      <c r="I173" s="21">
        <f t="shared" si="37"/>
        <v>5861.2724180007335</v>
      </c>
      <c r="J173" s="21">
        <f t="shared" si="37"/>
        <v>6411.177207196064</v>
      </c>
      <c r="K173" s="21">
        <f t="shared" si="37"/>
        <v>7456.7479694913472</v>
      </c>
      <c r="L173" s="21">
        <f t="shared" si="37"/>
        <v>9219.1546290048173</v>
      </c>
      <c r="M173" s="21">
        <f t="shared" si="37"/>
        <v>9055.3711040503476</v>
      </c>
    </row>
    <row r="174" spans="1:13" outlineLevel="1">
      <c r="A174" s="182"/>
      <c r="B174" s="61"/>
      <c r="C174" s="15"/>
      <c r="D174" s="62" t="s">
        <v>137</v>
      </c>
      <c r="E174" s="15"/>
      <c r="F174" s="15"/>
      <c r="G174" s="32"/>
      <c r="H174" s="15"/>
      <c r="I174" s="15"/>
      <c r="J174" s="15"/>
      <c r="K174" s="15"/>
      <c r="L174" s="15"/>
      <c r="M174" s="15"/>
    </row>
    <row r="175" spans="1:13" outlineLevel="1">
      <c r="A175" s="182"/>
      <c r="B175" s="16" t="s">
        <v>138</v>
      </c>
      <c r="C175" s="15"/>
      <c r="D175" s="222">
        <f>Cover!$D$22</f>
        <v>0</v>
      </c>
      <c r="E175" s="15"/>
      <c r="F175" s="15"/>
      <c r="G175" s="17">
        <v>6.1186122030422202E-2</v>
      </c>
      <c r="H175" s="17">
        <v>3.8114597890992301E-2</v>
      </c>
      <c r="I175" s="63">
        <f>Input!$M$181</f>
        <v>2.5000000000000001E-2</v>
      </c>
      <c r="J175" s="63">
        <f>Input!$M$181</f>
        <v>2.5000000000000001E-2</v>
      </c>
      <c r="K175" s="63">
        <f>Input!$M$181</f>
        <v>2.5000000000000001E-2</v>
      </c>
      <c r="L175" s="63">
        <f>Input!$M$181</f>
        <v>2.5000000000000001E-2</v>
      </c>
      <c r="M175" s="63">
        <f>Input!$M$181</f>
        <v>2.5000000000000001E-2</v>
      </c>
    </row>
    <row r="176" spans="1:13" outlineLevel="1">
      <c r="A176" s="182"/>
      <c r="B176" s="61" t="s">
        <v>139</v>
      </c>
      <c r="C176" s="15"/>
      <c r="D176" s="15"/>
      <c r="E176" s="15"/>
      <c r="F176" s="32"/>
      <c r="G176" s="21">
        <f t="shared" ref="G176:M176" si="38">IF($D$175=1,AVERAGE(G171,G173)*G175,G171*G175)</f>
        <v>358.00000000000028</v>
      </c>
      <c r="H176" s="21">
        <f t="shared" si="38"/>
        <v>300.0000000000004</v>
      </c>
      <c r="I176" s="21">
        <f t="shared" si="38"/>
        <v>155.75</v>
      </c>
      <c r="J176" s="21">
        <f t="shared" si="38"/>
        <v>146.53181045001836</v>
      </c>
      <c r="K176" s="21">
        <f t="shared" si="38"/>
        <v>160.27943017990162</v>
      </c>
      <c r="L176" s="21">
        <f t="shared" si="38"/>
        <v>186.4186992372837</v>
      </c>
      <c r="M176" s="21">
        <f t="shared" si="38"/>
        <v>230.47886572512044</v>
      </c>
    </row>
    <row r="177" spans="1:13" outlineLevel="1">
      <c r="A177" s="182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</row>
    <row r="178" spans="1:13" outlineLevel="1">
      <c r="A178" s="191"/>
      <c r="B178" s="55" t="s">
        <v>140</v>
      </c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</row>
    <row r="179" spans="1:13" outlineLevel="1">
      <c r="A179" s="182"/>
      <c r="B179" s="16" t="s">
        <v>141</v>
      </c>
      <c r="C179" s="15"/>
      <c r="D179" s="15"/>
      <c r="E179" s="15"/>
      <c r="F179" s="15"/>
      <c r="G179" s="17">
        <v>0.15059466700457999</v>
      </c>
      <c r="H179" s="17">
        <v>-8.9804908747639994E-2</v>
      </c>
      <c r="I179" s="63">
        <f>Input!I$166</f>
        <v>-0.02</v>
      </c>
      <c r="J179" s="63">
        <f>Input!J$166</f>
        <v>-0.01</v>
      </c>
      <c r="K179" s="63">
        <f>Input!K$166</f>
        <v>0</v>
      </c>
      <c r="L179" s="63">
        <f>Input!L$166</f>
        <v>0.01</v>
      </c>
      <c r="M179" s="63">
        <f>Input!M$166</f>
        <v>0.01</v>
      </c>
    </row>
    <row r="180" spans="1:13" outlineLevel="1">
      <c r="A180" s="182"/>
      <c r="B180" s="16"/>
      <c r="C180" s="15"/>
      <c r="D180" s="15"/>
      <c r="E180" s="15"/>
      <c r="F180" s="15"/>
      <c r="G180" s="17"/>
      <c r="H180" s="17"/>
      <c r="I180" s="17"/>
      <c r="J180" s="17"/>
      <c r="K180" s="17"/>
      <c r="L180" s="17"/>
      <c r="M180" s="17"/>
    </row>
    <row r="181" spans="1:13" outlineLevel="1">
      <c r="A181" s="182"/>
      <c r="B181" s="16" t="s">
        <v>135</v>
      </c>
      <c r="C181" s="15"/>
      <c r="D181" s="15"/>
      <c r="E181" s="15"/>
      <c r="F181" s="32"/>
      <c r="G181" s="21">
        <f t="shared" ref="G181:M181" si="39">F183</f>
        <v>55241</v>
      </c>
      <c r="H181" s="21">
        <f t="shared" si="39"/>
        <v>63560</v>
      </c>
      <c r="I181" s="21">
        <f t="shared" si="39"/>
        <v>57852</v>
      </c>
      <c r="J181" s="21">
        <f t="shared" si="39"/>
        <v>56694.96</v>
      </c>
      <c r="K181" s="21">
        <f t="shared" si="39"/>
        <v>56128.010399999999</v>
      </c>
      <c r="L181" s="21">
        <f t="shared" si="39"/>
        <v>56128.010399999999</v>
      </c>
      <c r="M181" s="21">
        <f t="shared" si="39"/>
        <v>56689.290503999997</v>
      </c>
    </row>
    <row r="182" spans="1:13" outlineLevel="1">
      <c r="A182" s="182"/>
      <c r="B182" s="16" t="s">
        <v>42</v>
      </c>
      <c r="C182" s="15"/>
      <c r="D182" s="15"/>
      <c r="E182" s="15"/>
      <c r="F182" s="32"/>
      <c r="G182" s="21">
        <f t="shared" ref="G182:M182" si="40">G181*G179</f>
        <v>8319.0000000000036</v>
      </c>
      <c r="H182" s="21">
        <f t="shared" si="40"/>
        <v>-5707.9999999999982</v>
      </c>
      <c r="I182" s="21">
        <f t="shared" si="40"/>
        <v>-1157.04</v>
      </c>
      <c r="J182" s="21">
        <f t="shared" si="40"/>
        <v>-566.94960000000003</v>
      </c>
      <c r="K182" s="21">
        <f t="shared" si="40"/>
        <v>0</v>
      </c>
      <c r="L182" s="21">
        <f t="shared" si="40"/>
        <v>561.28010400000005</v>
      </c>
      <c r="M182" s="21">
        <f t="shared" si="40"/>
        <v>566.89290503999996</v>
      </c>
    </row>
    <row r="183" spans="1:13" outlineLevel="1">
      <c r="A183" s="182"/>
      <c r="B183" s="16" t="s">
        <v>136</v>
      </c>
      <c r="C183" s="15"/>
      <c r="D183" s="15"/>
      <c r="E183" s="15"/>
      <c r="F183" s="64">
        <f>F364+F375</f>
        <v>55241</v>
      </c>
      <c r="G183" s="64">
        <f t="shared" ref="G183:M183" si="41">G181+G182</f>
        <v>63560</v>
      </c>
      <c r="H183" s="64">
        <f t="shared" si="41"/>
        <v>57852</v>
      </c>
      <c r="I183" s="64">
        <f t="shared" si="41"/>
        <v>56694.96</v>
      </c>
      <c r="J183" s="64">
        <f t="shared" si="41"/>
        <v>56128.010399999999</v>
      </c>
      <c r="K183" s="64">
        <f t="shared" si="41"/>
        <v>56128.010399999999</v>
      </c>
      <c r="L183" s="64">
        <f t="shared" si="41"/>
        <v>56689.290503999997</v>
      </c>
      <c r="M183" s="64">
        <f t="shared" si="41"/>
        <v>57256.183409039993</v>
      </c>
    </row>
    <row r="184" spans="1:13" outlineLevel="1">
      <c r="A184" s="182"/>
      <c r="B184" s="16"/>
      <c r="C184" s="15"/>
      <c r="D184" s="15"/>
      <c r="E184" s="15"/>
      <c r="F184" s="21"/>
      <c r="G184" s="21"/>
      <c r="H184" s="21"/>
      <c r="I184" s="21"/>
      <c r="J184" s="21"/>
      <c r="K184" s="21"/>
      <c r="L184" s="21"/>
      <c r="M184" s="21"/>
    </row>
    <row r="185" spans="1:13" outlineLevel="1">
      <c r="A185" s="182"/>
      <c r="B185" s="16" t="s">
        <v>142</v>
      </c>
      <c r="C185" s="15"/>
      <c r="D185" s="15"/>
      <c r="E185" s="15"/>
      <c r="F185" s="17">
        <v>0.17045310548324599</v>
      </c>
      <c r="G185" s="17">
        <v>0.18664254247954701</v>
      </c>
      <c r="H185" s="17">
        <v>0.20061536334093899</v>
      </c>
      <c r="I185" s="63">
        <f>Input!I167</f>
        <v>0.2</v>
      </c>
      <c r="J185" s="63">
        <f>Input!J167</f>
        <v>0.2</v>
      </c>
      <c r="K185" s="63">
        <f>Input!K167</f>
        <v>0.2</v>
      </c>
      <c r="L185" s="63">
        <f>Input!L167</f>
        <v>0.2</v>
      </c>
      <c r="M185" s="63">
        <f>Input!M167</f>
        <v>0.2</v>
      </c>
    </row>
    <row r="186" spans="1:13" outlineLevel="1">
      <c r="A186" s="182"/>
      <c r="B186" s="16" t="s">
        <v>143</v>
      </c>
      <c r="C186" s="15"/>
      <c r="D186" s="15"/>
      <c r="E186" s="15"/>
      <c r="F186" s="32"/>
      <c r="G186" s="21">
        <f t="shared" ref="G186:M186" si="42">G183*G185</f>
        <v>11863.000000000007</v>
      </c>
      <c r="H186" s="21">
        <f t="shared" si="42"/>
        <v>11606.000000000002</v>
      </c>
      <c r="I186" s="21">
        <f t="shared" si="42"/>
        <v>11338.992</v>
      </c>
      <c r="J186" s="21">
        <f t="shared" si="42"/>
        <v>11225.602080000001</v>
      </c>
      <c r="K186" s="21">
        <f t="shared" si="42"/>
        <v>11225.602080000001</v>
      </c>
      <c r="L186" s="21">
        <f t="shared" si="42"/>
        <v>11337.8581008</v>
      </c>
      <c r="M186" s="21">
        <f t="shared" si="42"/>
        <v>11451.236681807999</v>
      </c>
    </row>
    <row r="187" spans="1:13" outlineLevel="1">
      <c r="A187" s="182"/>
      <c r="B187" s="16" t="s">
        <v>144</v>
      </c>
      <c r="C187" s="15"/>
      <c r="D187" s="15"/>
      <c r="E187" s="15"/>
      <c r="F187" s="32"/>
      <c r="G187" s="21">
        <f t="shared" ref="G187:M187" si="43">G183-G186</f>
        <v>51696.999999999993</v>
      </c>
      <c r="H187" s="21">
        <f t="shared" si="43"/>
        <v>46246</v>
      </c>
      <c r="I187" s="21">
        <f t="shared" si="43"/>
        <v>45355.968000000001</v>
      </c>
      <c r="J187" s="21">
        <f t="shared" si="43"/>
        <v>44902.408320000002</v>
      </c>
      <c r="K187" s="21">
        <f t="shared" si="43"/>
        <v>44902.408320000002</v>
      </c>
      <c r="L187" s="21">
        <f t="shared" si="43"/>
        <v>45351.4324032</v>
      </c>
      <c r="M187" s="21">
        <f t="shared" si="43"/>
        <v>45804.946727231996</v>
      </c>
    </row>
    <row r="188" spans="1:13" outlineLevel="1">
      <c r="A188" s="182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</row>
    <row r="189" spans="1:13" outlineLevel="1">
      <c r="A189" s="182"/>
      <c r="B189" s="61"/>
      <c r="C189" s="15"/>
      <c r="D189" s="62" t="s">
        <v>137</v>
      </c>
      <c r="E189" s="15"/>
      <c r="F189" s="15"/>
      <c r="G189" s="32"/>
      <c r="H189" s="15"/>
      <c r="I189" s="15"/>
      <c r="J189" s="15"/>
      <c r="K189" s="15"/>
      <c r="L189" s="15"/>
      <c r="M189" s="15"/>
    </row>
    <row r="190" spans="1:13" outlineLevel="1">
      <c r="A190" s="182"/>
      <c r="B190" s="16" t="s">
        <v>138</v>
      </c>
      <c r="C190" s="15"/>
      <c r="D190" s="222">
        <f>Cover!$D$22</f>
        <v>0</v>
      </c>
      <c r="E190" s="15"/>
      <c r="F190" s="15"/>
      <c r="G190" s="17">
        <v>3.3362900744012602E-2</v>
      </c>
      <c r="H190" s="17">
        <v>2.8728760226557602E-2</v>
      </c>
      <c r="I190" s="63">
        <f>Input!$M$182</f>
        <v>2.9000000000000001E-2</v>
      </c>
      <c r="J190" s="63">
        <f>Input!$M$182</f>
        <v>2.9000000000000001E-2</v>
      </c>
      <c r="K190" s="63">
        <f>Input!$M$182</f>
        <v>2.9000000000000001E-2</v>
      </c>
      <c r="L190" s="63">
        <f>Input!$M$182</f>
        <v>2.9000000000000001E-2</v>
      </c>
      <c r="M190" s="63">
        <f>Input!$M$182</f>
        <v>2.9000000000000001E-2</v>
      </c>
    </row>
    <row r="191" spans="1:13" outlineLevel="1">
      <c r="A191" s="182"/>
      <c r="B191" s="61" t="s">
        <v>145</v>
      </c>
      <c r="C191" s="15"/>
      <c r="D191" s="15"/>
      <c r="E191" s="15"/>
      <c r="F191" s="32"/>
      <c r="G191" s="21">
        <f t="shared" ref="G191:M191" si="44">IF($D$190=1,AVERAGE(G181,G183)*G190,G181*G190)</f>
        <v>1843.0000000000002</v>
      </c>
      <c r="H191" s="21">
        <f t="shared" si="44"/>
        <v>1826.0000000000011</v>
      </c>
      <c r="I191" s="21">
        <f t="shared" si="44"/>
        <v>1677.7080000000001</v>
      </c>
      <c r="J191" s="21">
        <f t="shared" si="44"/>
        <v>1644.1538399999999</v>
      </c>
      <c r="K191" s="21">
        <f t="shared" si="44"/>
        <v>1627.7123016</v>
      </c>
      <c r="L191" s="21">
        <f t="shared" si="44"/>
        <v>1627.7123016</v>
      </c>
      <c r="M191" s="21">
        <f t="shared" si="44"/>
        <v>1643.989424616</v>
      </c>
    </row>
    <row r="192" spans="1:13" outlineLevel="1">
      <c r="A192" s="182"/>
      <c r="B192" s="30"/>
      <c r="C192" s="19"/>
      <c r="D192" s="19"/>
      <c r="E192" s="19"/>
      <c r="F192" s="31"/>
      <c r="G192" s="31"/>
      <c r="H192" s="31"/>
      <c r="I192" s="24"/>
      <c r="J192" s="24"/>
      <c r="K192" s="24"/>
      <c r="L192" s="24"/>
      <c r="M192" s="24"/>
    </row>
    <row r="193" spans="1:13">
      <c r="A193" s="182"/>
      <c r="B193" s="61"/>
      <c r="C193" s="15"/>
      <c r="D193" s="15"/>
      <c r="E193" s="15"/>
      <c r="F193" s="32"/>
      <c r="G193" s="21"/>
      <c r="H193" s="21"/>
      <c r="I193" s="21"/>
      <c r="J193" s="21"/>
      <c r="K193" s="21"/>
      <c r="L193" s="21"/>
      <c r="M193" s="21"/>
    </row>
    <row r="194" spans="1:13">
      <c r="A194" s="182" t="s">
        <v>61</v>
      </c>
      <c r="B194" s="8" t="s">
        <v>146</v>
      </c>
      <c r="C194" s="9"/>
      <c r="D194" s="9"/>
      <c r="E194" s="9"/>
      <c r="F194" s="10"/>
      <c r="G194" s="10"/>
      <c r="H194" s="10"/>
      <c r="I194" s="11"/>
      <c r="J194" s="11"/>
      <c r="K194" s="11"/>
      <c r="L194" s="11"/>
      <c r="M194" s="11"/>
    </row>
    <row r="195" spans="1:13" outlineLevel="1">
      <c r="A195" s="182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</row>
    <row r="196" spans="1:13" ht="17.399999999999999" outlineLevel="1" thickBot="1">
      <c r="A196" s="183"/>
      <c r="B196" s="12" t="str">
        <f>Input!$B$131</f>
        <v>All figures in CHF millions unless stated</v>
      </c>
      <c r="C196" s="7"/>
      <c r="D196" s="7"/>
      <c r="E196" s="7"/>
      <c r="F196" s="13">
        <f>F$2</f>
        <v>2023</v>
      </c>
      <c r="G196" s="13">
        <f t="shared" ref="G196:M196" si="45">G$2</f>
        <v>2024</v>
      </c>
      <c r="H196" s="13">
        <f t="shared" si="45"/>
        <v>2025</v>
      </c>
      <c r="I196" s="14">
        <f t="shared" si="45"/>
        <v>2026</v>
      </c>
      <c r="J196" s="14">
        <f t="shared" si="45"/>
        <v>2027</v>
      </c>
      <c r="K196" s="14">
        <f t="shared" si="45"/>
        <v>2028</v>
      </c>
      <c r="L196" s="14">
        <f t="shared" si="45"/>
        <v>2029</v>
      </c>
      <c r="M196" s="14">
        <f t="shared" si="45"/>
        <v>2030</v>
      </c>
    </row>
    <row r="197" spans="1:13" ht="17.399999999999999" outlineLevel="1" thickTop="1">
      <c r="A197" s="183"/>
      <c r="B197" s="12" t="str">
        <f>CONCATENATE("Model Running: ",INDEX(Input!$B$12:$B$14,Input!$D$6)," Drivers")</f>
        <v>Model Running: Base Case Drivers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outlineLevel="1">
      <c r="A198" s="182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</row>
    <row r="199" spans="1:13" outlineLevel="1">
      <c r="A199" s="182"/>
      <c r="B199" s="55" t="s">
        <v>147</v>
      </c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</row>
    <row r="200" spans="1:13" outlineLevel="1">
      <c r="A200" s="182"/>
      <c r="B200" s="16" t="s">
        <v>148</v>
      </c>
      <c r="C200" s="15"/>
      <c r="D200" s="15"/>
      <c r="E200" s="15"/>
      <c r="F200" s="15"/>
      <c r="G200" s="15"/>
      <c r="H200" s="15"/>
      <c r="I200" s="21">
        <f>I329</f>
        <v>4579</v>
      </c>
      <c r="J200" s="21">
        <f>J329</f>
        <v>4210.2724180007335</v>
      </c>
      <c r="K200" s="21">
        <f>K329</f>
        <v>4760.177207196064</v>
      </c>
      <c r="L200" s="21">
        <f>L329</f>
        <v>5805.7479694913472</v>
      </c>
      <c r="M200" s="21">
        <f>M329</f>
        <v>7568.1546290048163</v>
      </c>
    </row>
    <row r="201" spans="1:13" outlineLevel="1">
      <c r="A201" s="182"/>
      <c r="B201" s="16" t="s">
        <v>149</v>
      </c>
      <c r="C201" s="15"/>
      <c r="D201" s="15"/>
      <c r="E201" s="15"/>
      <c r="F201" s="15"/>
      <c r="G201" s="15"/>
      <c r="H201" s="15"/>
      <c r="I201" s="21">
        <f>I302</f>
        <v>13733.401500413984</v>
      </c>
      <c r="J201" s="21">
        <f>J302</f>
        <v>14174.144064994862</v>
      </c>
      <c r="K201" s="21">
        <f>K302</f>
        <v>14255.556038281829</v>
      </c>
      <c r="L201" s="21">
        <f>L302</f>
        <v>14599.323943189005</v>
      </c>
      <c r="M201" s="21">
        <f>M302</f>
        <v>14942.688881250406</v>
      </c>
    </row>
    <row r="202" spans="1:13" outlineLevel="1">
      <c r="A202" s="182"/>
      <c r="B202" s="16" t="s">
        <v>150</v>
      </c>
      <c r="C202" s="15"/>
      <c r="D202" s="15"/>
      <c r="E202" s="15"/>
      <c r="F202" s="15"/>
      <c r="G202" s="15"/>
      <c r="H202" s="15"/>
      <c r="I202" s="21">
        <f>I313</f>
        <v>-4766.6848499999996</v>
      </c>
      <c r="J202" s="21">
        <f>J313</f>
        <v>-4746.8986109999996</v>
      </c>
      <c r="K202" s="21">
        <f>K313</f>
        <v>-4770.6331040549985</v>
      </c>
      <c r="L202" s="21">
        <f>L313</f>
        <v>-4819.2568645386373</v>
      </c>
      <c r="M202" s="21">
        <f>M313</f>
        <v>-4954.1960567457181</v>
      </c>
    </row>
    <row r="203" spans="1:13" outlineLevel="1">
      <c r="A203" s="182"/>
      <c r="B203" s="16" t="s">
        <v>151</v>
      </c>
      <c r="C203" s="15"/>
      <c r="D203" s="15"/>
      <c r="E203" s="15"/>
      <c r="F203" s="15"/>
      <c r="G203" s="15"/>
      <c r="H203" s="15"/>
      <c r="I203" s="21">
        <f>SUM(I316:I322)</f>
        <v>-9335.4442324132506</v>
      </c>
      <c r="J203" s="21">
        <f>SUM(J316:J322)</f>
        <v>-8877.3406647995325</v>
      </c>
      <c r="K203" s="21">
        <f>SUM(K316:K322)</f>
        <v>-8439.3521719315468</v>
      </c>
      <c r="L203" s="21">
        <f>SUM(L316:L322)</f>
        <v>-8017.6604191368997</v>
      </c>
      <c r="M203" s="21">
        <f>SUM(M316:M322)</f>
        <v>-10152.276349459156</v>
      </c>
    </row>
    <row r="204" spans="1:13" outlineLevel="1">
      <c r="A204" s="182"/>
      <c r="B204" s="16" t="s">
        <v>152</v>
      </c>
      <c r="C204" s="15"/>
      <c r="D204" s="15"/>
      <c r="E204" s="15"/>
      <c r="F204" s="15"/>
      <c r="G204" s="15"/>
      <c r="H204" s="15"/>
      <c r="I204" s="24">
        <f>I326</f>
        <v>0</v>
      </c>
      <c r="J204" s="24">
        <f>J326</f>
        <v>0</v>
      </c>
      <c r="K204" s="24">
        <f>K326</f>
        <v>0</v>
      </c>
      <c r="L204" s="24">
        <f>L326</f>
        <v>0</v>
      </c>
      <c r="M204" s="24">
        <f>M326</f>
        <v>0</v>
      </c>
    </row>
    <row r="205" spans="1:13" outlineLevel="1">
      <c r="A205" s="182"/>
      <c r="B205" s="16" t="s">
        <v>153</v>
      </c>
      <c r="C205" s="15"/>
      <c r="D205" s="15"/>
      <c r="E205" s="15"/>
      <c r="F205" s="15"/>
      <c r="G205" s="15"/>
      <c r="H205" s="15"/>
      <c r="I205" s="21">
        <f>SUM(I200:I204)</f>
        <v>4210.2724180007335</v>
      </c>
      <c r="J205" s="21">
        <f>SUM(J200:J204)</f>
        <v>4760.1772071960622</v>
      </c>
      <c r="K205" s="21">
        <f>SUM(K200:K204)</f>
        <v>5805.7479694913491</v>
      </c>
      <c r="L205" s="21">
        <f>SUM(L200:L204)</f>
        <v>7568.1546290048145</v>
      </c>
      <c r="M205" s="21">
        <f>SUM(M200:M204)</f>
        <v>7404.3711040503476</v>
      </c>
    </row>
    <row r="206" spans="1:13" outlineLevel="1">
      <c r="A206" s="182"/>
      <c r="B206" s="16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</row>
    <row r="207" spans="1:13" outlineLevel="1">
      <c r="A207" s="182"/>
      <c r="B207" s="16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</row>
    <row r="208" spans="1:13" outlineLevel="1">
      <c r="A208" s="182"/>
      <c r="B208" s="55" t="s">
        <v>154</v>
      </c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</row>
    <row r="209" spans="1:13" outlineLevel="1">
      <c r="A209" s="182"/>
      <c r="B209" s="16" t="s">
        <v>135</v>
      </c>
      <c r="C209" s="15"/>
      <c r="D209" s="15"/>
      <c r="E209" s="15"/>
      <c r="F209" s="15"/>
      <c r="G209" s="15"/>
      <c r="H209" s="21"/>
      <c r="I209" s="21">
        <f>H211</f>
        <v>0</v>
      </c>
      <c r="J209" s="21">
        <f>I211</f>
        <v>0</v>
      </c>
      <c r="K209" s="21">
        <f>J211</f>
        <v>0</v>
      </c>
      <c r="L209" s="21">
        <f>K211</f>
        <v>0</v>
      </c>
      <c r="M209" s="21">
        <f>L211</f>
        <v>0</v>
      </c>
    </row>
    <row r="210" spans="1:13" outlineLevel="1">
      <c r="A210" s="182"/>
      <c r="B210" s="16" t="s">
        <v>42</v>
      </c>
      <c r="C210" s="15"/>
      <c r="D210" s="15"/>
      <c r="E210" s="15"/>
      <c r="F210" s="15"/>
      <c r="G210" s="15"/>
      <c r="H210" s="21"/>
      <c r="I210" s="248">
        <f>-MIN(I209,I205-Input!$F$184)</f>
        <v>0</v>
      </c>
      <c r="J210" s="248">
        <f>-MIN(J209,J205-Input!$F$184)</f>
        <v>0</v>
      </c>
      <c r="K210" s="248">
        <f>-MIN(K209,K205-Input!$F$184)</f>
        <v>0</v>
      </c>
      <c r="L210" s="248">
        <f>-MIN(L209,L205-Input!$F$184)</f>
        <v>0</v>
      </c>
      <c r="M210" s="248">
        <f>-MIN(M209,M205-Input!$F$184)</f>
        <v>0</v>
      </c>
    </row>
    <row r="211" spans="1:13" outlineLevel="1">
      <c r="A211" s="182"/>
      <c r="B211" s="16" t="s">
        <v>136</v>
      </c>
      <c r="C211" s="15"/>
      <c r="D211" s="15"/>
      <c r="E211" s="15"/>
      <c r="F211" s="15"/>
      <c r="G211" s="15"/>
      <c r="H211" s="64">
        <f>H371</f>
        <v>0</v>
      </c>
      <c r="I211" s="64">
        <f>I209+I210</f>
        <v>0</v>
      </c>
      <c r="J211" s="64">
        <f>J209+J210</f>
        <v>0</v>
      </c>
      <c r="K211" s="64">
        <f>K209+K210</f>
        <v>0</v>
      </c>
      <c r="L211" s="64">
        <f>L209+L210</f>
        <v>0</v>
      </c>
      <c r="M211" s="64">
        <f>M209+M210</f>
        <v>0</v>
      </c>
    </row>
    <row r="212" spans="1:13" outlineLevel="1">
      <c r="A212" s="182"/>
      <c r="B212" s="61"/>
      <c r="C212" s="15"/>
      <c r="D212" s="62" t="s">
        <v>137</v>
      </c>
      <c r="E212" s="62"/>
      <c r="F212" s="15"/>
      <c r="G212" s="15"/>
      <c r="H212" s="15"/>
      <c r="I212" s="15"/>
      <c r="J212" s="15"/>
      <c r="K212" s="15"/>
      <c r="L212" s="15"/>
      <c r="M212" s="15"/>
    </row>
    <row r="213" spans="1:13" outlineLevel="1">
      <c r="A213" s="182"/>
      <c r="B213" s="16" t="s">
        <v>138</v>
      </c>
      <c r="C213" s="15"/>
      <c r="D213" s="222">
        <f>Cover!$D$22</f>
        <v>0</v>
      </c>
      <c r="E213" s="15"/>
      <c r="F213" s="15"/>
      <c r="G213" s="17"/>
      <c r="H213" s="17">
        <v>0.05</v>
      </c>
      <c r="I213" s="63">
        <f>Input!$M$183</f>
        <v>4.2000000000000003E-2</v>
      </c>
      <c r="J213" s="63">
        <f>Input!$M$183</f>
        <v>4.2000000000000003E-2</v>
      </c>
      <c r="K213" s="63">
        <f>Input!$M$183</f>
        <v>4.2000000000000003E-2</v>
      </c>
      <c r="L213" s="63">
        <f>Input!$M$183</f>
        <v>4.2000000000000003E-2</v>
      </c>
      <c r="M213" s="63">
        <f>Input!$M$183</f>
        <v>4.2000000000000003E-2</v>
      </c>
    </row>
    <row r="214" spans="1:13" outlineLevel="1">
      <c r="A214" s="182"/>
      <c r="B214" s="61" t="s">
        <v>145</v>
      </c>
      <c r="C214" s="15"/>
      <c r="D214" s="15"/>
      <c r="E214" s="15"/>
      <c r="F214" s="15"/>
      <c r="G214" s="21"/>
      <c r="H214" s="21">
        <f t="shared" ref="H214:M214" si="46">IF($D$213=1,AVERAGE(H209,H211)*H213,H209*H213)</f>
        <v>0</v>
      </c>
      <c r="I214" s="21">
        <f t="shared" si="46"/>
        <v>0</v>
      </c>
      <c r="J214" s="21">
        <f t="shared" si="46"/>
        <v>0</v>
      </c>
      <c r="K214" s="21">
        <f t="shared" si="46"/>
        <v>0</v>
      </c>
      <c r="L214" s="21">
        <f t="shared" si="46"/>
        <v>0</v>
      </c>
      <c r="M214" s="21">
        <f t="shared" si="46"/>
        <v>0</v>
      </c>
    </row>
    <row r="215" spans="1:13" outlineLevel="1">
      <c r="A215" s="182"/>
      <c r="B215" s="16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</row>
    <row r="216" spans="1:13" outlineLevel="1">
      <c r="A216" s="182"/>
      <c r="B216" s="30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</row>
    <row r="217" spans="1:13" outlineLevel="1">
      <c r="A217" s="182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</row>
    <row r="218" spans="1:13" outlineLevel="1">
      <c r="A218" s="191"/>
      <c r="B218" s="55" t="s">
        <v>155</v>
      </c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</row>
    <row r="219" spans="1:13" outlineLevel="1">
      <c r="A219" s="182"/>
      <c r="B219" s="16" t="s">
        <v>145</v>
      </c>
      <c r="C219" s="15"/>
      <c r="D219" s="15"/>
      <c r="E219" s="15"/>
      <c r="F219" s="32"/>
      <c r="G219" s="21">
        <f t="shared" ref="G219:M219" si="47">G191+G214</f>
        <v>1843.0000000000002</v>
      </c>
      <c r="H219" s="21">
        <f t="shared" si="47"/>
        <v>1826.0000000000011</v>
      </c>
      <c r="I219" s="21">
        <f t="shared" si="47"/>
        <v>1677.7080000000001</v>
      </c>
      <c r="J219" s="21">
        <f t="shared" si="47"/>
        <v>1644.1538399999999</v>
      </c>
      <c r="K219" s="21">
        <f t="shared" si="47"/>
        <v>1627.7123016</v>
      </c>
      <c r="L219" s="21">
        <f t="shared" si="47"/>
        <v>1627.7123016</v>
      </c>
      <c r="M219" s="21">
        <f t="shared" si="47"/>
        <v>1643.989424616</v>
      </c>
    </row>
    <row r="220" spans="1:13" outlineLevel="1">
      <c r="A220" s="182"/>
      <c r="B220" s="16" t="s">
        <v>156</v>
      </c>
      <c r="C220" s="15"/>
      <c r="D220" s="15"/>
      <c r="E220" s="15"/>
      <c r="F220" s="32"/>
      <c r="G220" s="21">
        <f t="shared" ref="G220:M220" si="48">-G176</f>
        <v>-358.00000000000028</v>
      </c>
      <c r="H220" s="21">
        <f t="shared" si="48"/>
        <v>-300.0000000000004</v>
      </c>
      <c r="I220" s="21">
        <f t="shared" si="48"/>
        <v>-155.75</v>
      </c>
      <c r="J220" s="21">
        <f t="shared" si="48"/>
        <v>-146.53181045001836</v>
      </c>
      <c r="K220" s="21">
        <f t="shared" si="48"/>
        <v>-160.27943017990162</v>
      </c>
      <c r="L220" s="21">
        <f t="shared" si="48"/>
        <v>-186.4186992372837</v>
      </c>
      <c r="M220" s="21">
        <f t="shared" si="48"/>
        <v>-230.47886572512044</v>
      </c>
    </row>
    <row r="221" spans="1:13" outlineLevel="1">
      <c r="A221" s="182"/>
      <c r="B221" s="16" t="s">
        <v>157</v>
      </c>
      <c r="C221" s="15"/>
      <c r="D221" s="15"/>
      <c r="E221" s="15"/>
      <c r="F221" s="32"/>
      <c r="G221" s="64">
        <f t="shared" ref="G221:M221" si="49">G219+G220</f>
        <v>1485</v>
      </c>
      <c r="H221" s="64">
        <f t="shared" si="49"/>
        <v>1526.0000000000007</v>
      </c>
      <c r="I221" s="64">
        <f t="shared" si="49"/>
        <v>1521.9580000000001</v>
      </c>
      <c r="J221" s="64">
        <f t="shared" si="49"/>
        <v>1497.6220295499816</v>
      </c>
      <c r="K221" s="64">
        <f t="shared" si="49"/>
        <v>1467.4328714200983</v>
      </c>
      <c r="L221" s="64">
        <f t="shared" si="49"/>
        <v>1441.2936023627162</v>
      </c>
      <c r="M221" s="64">
        <f t="shared" si="49"/>
        <v>1413.5105588908796</v>
      </c>
    </row>
    <row r="222" spans="1:13" outlineLevel="1">
      <c r="A222" s="182"/>
      <c r="B222" s="30"/>
      <c r="C222" s="19"/>
      <c r="D222" s="19"/>
      <c r="E222" s="19"/>
      <c r="F222" s="31"/>
      <c r="G222" s="31"/>
      <c r="H222" s="31"/>
      <c r="I222" s="24"/>
      <c r="J222" s="24"/>
      <c r="K222" s="24"/>
      <c r="L222" s="24"/>
      <c r="M222" s="24"/>
    </row>
    <row r="223" spans="1:13">
      <c r="A223" s="182"/>
      <c r="B223" s="16"/>
      <c r="C223" s="15"/>
      <c r="D223" s="15"/>
      <c r="E223" s="15"/>
      <c r="F223" s="32"/>
      <c r="G223" s="21"/>
      <c r="H223" s="21"/>
      <c r="I223" s="21"/>
      <c r="J223" s="21"/>
      <c r="K223" s="21"/>
      <c r="L223" s="21"/>
      <c r="M223" s="21"/>
    </row>
    <row r="224" spans="1:13">
      <c r="A224" s="182" t="s">
        <v>61</v>
      </c>
      <c r="B224" s="8" t="s">
        <v>158</v>
      </c>
      <c r="C224" s="9"/>
      <c r="D224" s="9"/>
      <c r="E224" s="9"/>
      <c r="F224" s="10"/>
      <c r="G224" s="10"/>
      <c r="H224" s="10"/>
      <c r="I224" s="11"/>
      <c r="J224" s="11"/>
      <c r="K224" s="11"/>
      <c r="L224" s="11"/>
      <c r="M224" s="11"/>
    </row>
    <row r="225" spans="1:13" outlineLevel="1">
      <c r="A225" s="182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</row>
    <row r="226" spans="1:13" ht="17.399999999999999" outlineLevel="1" thickBot="1">
      <c r="A226" s="183"/>
      <c r="B226" s="12" t="str">
        <f>Input!$B$131</f>
        <v>All figures in CHF millions unless stated</v>
      </c>
      <c r="C226" s="7"/>
      <c r="D226" s="7"/>
      <c r="E226" s="7"/>
      <c r="F226" s="13">
        <f>F$2</f>
        <v>2023</v>
      </c>
      <c r="G226" s="13">
        <f t="shared" ref="G226:M226" si="50">G$2</f>
        <v>2024</v>
      </c>
      <c r="H226" s="13">
        <f t="shared" si="50"/>
        <v>2025</v>
      </c>
      <c r="I226" s="14">
        <f t="shared" si="50"/>
        <v>2026</v>
      </c>
      <c r="J226" s="14">
        <f t="shared" si="50"/>
        <v>2027</v>
      </c>
      <c r="K226" s="14">
        <f t="shared" si="50"/>
        <v>2028</v>
      </c>
      <c r="L226" s="14">
        <f t="shared" si="50"/>
        <v>2029</v>
      </c>
      <c r="M226" s="14">
        <f t="shared" si="50"/>
        <v>2030</v>
      </c>
    </row>
    <row r="227" spans="1:13" ht="17.399999999999999" outlineLevel="1" thickTop="1">
      <c r="A227" s="183"/>
      <c r="B227" s="12" t="str">
        <f>CONCATENATE("Model Running: ",INDEX(Input!$B$12:$B$14,Input!$D$6)," Drivers")</f>
        <v>Model Running: Base Case Drivers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 spans="1:13" outlineLevel="1">
      <c r="A228" s="182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</row>
    <row r="229" spans="1:13" outlineLevel="1">
      <c r="A229" s="182"/>
      <c r="B229" s="55" t="s">
        <v>159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</row>
    <row r="230" spans="1:13" outlineLevel="1">
      <c r="A230" s="182"/>
      <c r="B230" s="16" t="s">
        <v>135</v>
      </c>
      <c r="C230" s="15"/>
      <c r="D230" s="15"/>
      <c r="E230" s="15"/>
      <c r="F230" s="15"/>
      <c r="G230" s="21"/>
      <c r="H230" s="21"/>
      <c r="I230" s="21">
        <f>H233</f>
        <v>63551</v>
      </c>
      <c r="J230" s="21">
        <f>I233</f>
        <v>64799.638488724246</v>
      </c>
      <c r="K230" s="21">
        <f>J233</f>
        <v>66324.249353952735</v>
      </c>
      <c r="L230" s="21">
        <f>K233</f>
        <v>67679.187825630972</v>
      </c>
      <c r="M230" s="21">
        <f>L233</f>
        <v>69482.10518280862</v>
      </c>
    </row>
    <row r="231" spans="1:13" outlineLevel="1">
      <c r="A231" s="182"/>
      <c r="B231" s="16" t="s">
        <v>160</v>
      </c>
      <c r="C231" s="15"/>
      <c r="D231" s="15"/>
      <c r="E231" s="15"/>
      <c r="F231" s="15"/>
      <c r="G231" s="21"/>
      <c r="H231" s="21"/>
      <c r="I231" s="21">
        <f>I278</f>
        <v>9249.1739905500017</v>
      </c>
      <c r="J231" s="21">
        <f>J278</f>
        <v>9649.4358558765562</v>
      </c>
      <c r="K231" s="21">
        <f>K278</f>
        <v>9609.49270693791</v>
      </c>
      <c r="L231" s="21">
        <f>L278</f>
        <v>10185.973769365211</v>
      </c>
      <c r="M231" s="21">
        <f>M278</f>
        <v>10774.638812594016</v>
      </c>
    </row>
    <row r="232" spans="1:13" outlineLevel="1">
      <c r="A232" s="182"/>
      <c r="B232" s="16" t="s">
        <v>161</v>
      </c>
      <c r="C232" s="15"/>
      <c r="D232" s="15"/>
      <c r="E232" s="15"/>
      <c r="F232" s="15"/>
      <c r="G232" s="21"/>
      <c r="H232" s="21"/>
      <c r="I232" s="248">
        <f>-MAX(0,I30*I278,MIN(-H316,Input!$F$186*I278))</f>
        <v>-8000.5355018257515</v>
      </c>
      <c r="J232" s="248">
        <f>-MAX(0,J30*J278,MIN(-I316,Input!$F$186*J278))</f>
        <v>-8124.8249906480596</v>
      </c>
      <c r="K232" s="248">
        <f>-MAX(0,K30*K278,MIN(-J316,Input!$F$186*K278))</f>
        <v>-8254.554235259664</v>
      </c>
      <c r="L232" s="248">
        <f>-MAX(0,L30*L278,MIN(-K316,Input!$F$186*L278))</f>
        <v>-8383.0564121875686</v>
      </c>
      <c r="M232" s="248">
        <f>-MAX(0,M30*M278,MIN(-L316,Input!$F$186*M278))</f>
        <v>-8511.9646619492723</v>
      </c>
    </row>
    <row r="233" spans="1:13" outlineLevel="1">
      <c r="A233" s="182"/>
      <c r="B233" s="16" t="s">
        <v>136</v>
      </c>
      <c r="C233" s="15"/>
      <c r="D233" s="15"/>
      <c r="E233" s="15"/>
      <c r="F233" s="15"/>
      <c r="G233" s="21"/>
      <c r="H233" s="64">
        <f>H389</f>
        <v>63551</v>
      </c>
      <c r="I233" s="296">
        <f>SUM(I230:I232)</f>
        <v>64799.638488724246</v>
      </c>
      <c r="J233" s="296">
        <f>SUM(J230:J232)</f>
        <v>66324.249353952735</v>
      </c>
      <c r="K233" s="296">
        <f>SUM(K230:K232)</f>
        <v>67679.187825630972</v>
      </c>
      <c r="L233" s="296">
        <f>SUM(L230:L232)</f>
        <v>69482.10518280862</v>
      </c>
      <c r="M233" s="296">
        <f>SUM(M230:M232)</f>
        <v>71744.779333453364</v>
      </c>
    </row>
    <row r="234" spans="1:13" outlineLevel="1">
      <c r="A234" s="182"/>
      <c r="B234" s="30"/>
      <c r="C234" s="19"/>
      <c r="D234" s="19"/>
      <c r="E234" s="19"/>
      <c r="F234" s="19"/>
      <c r="G234" s="19"/>
      <c r="H234" s="24"/>
      <c r="I234" s="286"/>
      <c r="J234" s="286"/>
      <c r="K234" s="286"/>
      <c r="L234" s="286"/>
      <c r="M234" s="286"/>
    </row>
    <row r="235" spans="1:13" outlineLevel="1">
      <c r="A235" s="182"/>
      <c r="B235" s="16"/>
      <c r="C235" s="15"/>
      <c r="D235" s="15"/>
      <c r="E235" s="15"/>
      <c r="F235" s="15"/>
      <c r="G235" s="15"/>
      <c r="H235" s="21"/>
      <c r="I235" s="248"/>
      <c r="J235" s="248"/>
      <c r="K235" s="248"/>
      <c r="L235" s="248"/>
      <c r="M235" s="248"/>
    </row>
    <row r="236" spans="1:13" outlineLevel="1">
      <c r="A236" s="182"/>
      <c r="B236" s="55" t="s">
        <v>162</v>
      </c>
      <c r="C236" s="15"/>
      <c r="D236" s="15"/>
      <c r="E236" s="15"/>
      <c r="F236" s="15"/>
      <c r="G236" s="15"/>
      <c r="H236" s="15"/>
      <c r="I236" s="287"/>
      <c r="J236" s="287"/>
      <c r="K236" s="287"/>
      <c r="L236" s="287"/>
      <c r="M236" s="287"/>
    </row>
    <row r="237" spans="1:13" outlineLevel="1">
      <c r="A237" s="182"/>
      <c r="B237" s="16" t="s">
        <v>135</v>
      </c>
      <c r="C237" s="15"/>
      <c r="D237" s="15"/>
      <c r="E237" s="15"/>
      <c r="F237" s="15"/>
      <c r="G237" s="21"/>
      <c r="H237" s="21"/>
      <c r="I237" s="248">
        <f>H241</f>
        <v>248</v>
      </c>
      <c r="J237" s="248">
        <f>I241</f>
        <v>307.28957686249998</v>
      </c>
      <c r="K237" s="248">
        <f>J241</f>
        <v>369.14493491299078</v>
      </c>
      <c r="L237" s="248">
        <f>K241</f>
        <v>430.74424713695169</v>
      </c>
      <c r="M237" s="248">
        <f>L241</f>
        <v>496.03895078672872</v>
      </c>
    </row>
    <row r="238" spans="1:13" outlineLevel="1">
      <c r="A238" s="182"/>
      <c r="B238" s="16" t="s">
        <v>163</v>
      </c>
      <c r="C238" s="15"/>
      <c r="D238" s="15"/>
      <c r="E238" s="15"/>
      <c r="F238" s="15"/>
      <c r="G238" s="21"/>
      <c r="H238" s="21"/>
      <c r="I238" s="248">
        <f>I277</f>
        <v>237.15830745000005</v>
      </c>
      <c r="J238" s="248">
        <f>J277</f>
        <v>247.421432201963</v>
      </c>
      <c r="K238" s="248">
        <f>K277</f>
        <v>246.39724889584386</v>
      </c>
      <c r="L238" s="248">
        <f>L277</f>
        <v>261.17881459910802</v>
      </c>
      <c r="M238" s="248">
        <f>M277</f>
        <v>276.27279006651327</v>
      </c>
    </row>
    <row r="239" spans="1:13" outlineLevel="1">
      <c r="A239" s="182"/>
      <c r="B239" s="16" t="s">
        <v>164</v>
      </c>
      <c r="C239" s="15"/>
      <c r="D239" s="15"/>
      <c r="E239" s="15"/>
      <c r="F239" s="15"/>
      <c r="G239" s="21"/>
      <c r="H239" s="21"/>
      <c r="I239" s="248">
        <f>I318</f>
        <v>0</v>
      </c>
      <c r="J239" s="248">
        <f>J318</f>
        <v>0</v>
      </c>
      <c r="K239" s="248">
        <f>K318</f>
        <v>0</v>
      </c>
      <c r="L239" s="248">
        <f>L318</f>
        <v>0</v>
      </c>
      <c r="M239" s="248">
        <f>M318</f>
        <v>0</v>
      </c>
    </row>
    <row r="240" spans="1:13" outlineLevel="1">
      <c r="A240" s="182"/>
      <c r="B240" s="16" t="s">
        <v>165</v>
      </c>
      <c r="C240" s="15"/>
      <c r="D240" s="15"/>
      <c r="E240" s="15"/>
      <c r="F240" s="15"/>
      <c r="G240" s="21"/>
      <c r="H240" s="21"/>
      <c r="I240" s="248">
        <f>-MAX(0,I31*I277)</f>
        <v>-177.86873058750004</v>
      </c>
      <c r="J240" s="248">
        <f>-MAX(0,J31*J277)</f>
        <v>-185.56607415147226</v>
      </c>
      <c r="K240" s="248">
        <f>-MAX(0,K31*K277)</f>
        <v>-184.79793667188289</v>
      </c>
      <c r="L240" s="248">
        <f>-MAX(0,L31*L277)</f>
        <v>-195.88411094933102</v>
      </c>
      <c r="M240" s="248">
        <f>-MAX(0,M31*M277)</f>
        <v>-207.20459254988495</v>
      </c>
    </row>
    <row r="241" spans="1:13" outlineLevel="1">
      <c r="A241" s="182"/>
      <c r="B241" s="16" t="s">
        <v>136</v>
      </c>
      <c r="C241" s="15"/>
      <c r="D241" s="15"/>
      <c r="E241" s="15"/>
      <c r="F241" s="15"/>
      <c r="G241" s="21"/>
      <c r="H241" s="64">
        <f>H391</f>
        <v>248</v>
      </c>
      <c r="I241" s="296">
        <f>SUM(I237:I240)</f>
        <v>307.28957686249998</v>
      </c>
      <c r="J241" s="296">
        <f>SUM(J237:J240)</f>
        <v>369.14493491299078</v>
      </c>
      <c r="K241" s="296">
        <f>SUM(K237:K240)</f>
        <v>430.74424713695169</v>
      </c>
      <c r="L241" s="296">
        <f>SUM(L237:L240)</f>
        <v>496.03895078672872</v>
      </c>
      <c r="M241" s="296">
        <f>SUM(M237:M240)</f>
        <v>565.10714830335701</v>
      </c>
    </row>
    <row r="242" spans="1:13" outlineLevel="1">
      <c r="A242" s="182"/>
      <c r="B242" s="30"/>
      <c r="C242" s="19"/>
      <c r="D242" s="19"/>
      <c r="E242" s="19"/>
      <c r="F242" s="19"/>
      <c r="G242" s="19"/>
      <c r="H242" s="24"/>
      <c r="I242" s="286"/>
      <c r="J242" s="286"/>
      <c r="K242" s="286"/>
      <c r="L242" s="286"/>
      <c r="M242" s="286"/>
    </row>
    <row r="243" spans="1:13" outlineLevel="1">
      <c r="A243" s="182"/>
      <c r="B243" s="16"/>
      <c r="C243" s="15"/>
      <c r="D243" s="15"/>
      <c r="E243" s="15"/>
      <c r="F243" s="15"/>
      <c r="G243" s="15"/>
      <c r="H243" s="21"/>
      <c r="I243" s="21"/>
      <c r="J243" s="21"/>
      <c r="K243" s="21"/>
      <c r="L243" s="21"/>
      <c r="M243" s="21"/>
    </row>
    <row r="244" spans="1:13" outlineLevel="1">
      <c r="A244" s="182"/>
      <c r="B244" s="55" t="s">
        <v>166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</row>
    <row r="245" spans="1:13" outlineLevel="1">
      <c r="A245" s="182"/>
      <c r="B245" s="16" t="s">
        <v>135</v>
      </c>
      <c r="C245" s="15"/>
      <c r="D245" s="15"/>
      <c r="E245" s="15"/>
      <c r="F245" s="15"/>
      <c r="G245" s="21"/>
      <c r="H245" s="21"/>
      <c r="I245" s="21">
        <f>H247</f>
        <v>388</v>
      </c>
      <c r="J245" s="21">
        <f>I247</f>
        <v>388</v>
      </c>
      <c r="K245" s="21">
        <f>J247</f>
        <v>388</v>
      </c>
      <c r="L245" s="21">
        <f>K247</f>
        <v>388</v>
      </c>
      <c r="M245" s="21">
        <f>L247</f>
        <v>388</v>
      </c>
    </row>
    <row r="246" spans="1:13" outlineLevel="1">
      <c r="A246" s="182"/>
      <c r="B246" s="16" t="s">
        <v>167</v>
      </c>
      <c r="C246" s="15"/>
      <c r="D246" s="15"/>
      <c r="E246" s="15"/>
      <c r="F246" s="15"/>
      <c r="G246" s="21"/>
      <c r="H246" s="21"/>
      <c r="I246" s="21">
        <f>I32</f>
        <v>0</v>
      </c>
      <c r="J246" s="21">
        <f>J32</f>
        <v>0</v>
      </c>
      <c r="K246" s="21">
        <f>K32</f>
        <v>0</v>
      </c>
      <c r="L246" s="21">
        <f>L32</f>
        <v>0</v>
      </c>
      <c r="M246" s="21">
        <f>M32</f>
        <v>2000</v>
      </c>
    </row>
    <row r="247" spans="1:13" outlineLevel="1">
      <c r="A247" s="182"/>
      <c r="B247" s="16" t="s">
        <v>136</v>
      </c>
      <c r="C247" s="15"/>
      <c r="D247" s="15"/>
      <c r="E247" s="15"/>
      <c r="F247" s="15"/>
      <c r="G247" s="21"/>
      <c r="H247" s="64">
        <f>-H386</f>
        <v>388</v>
      </c>
      <c r="I247" s="64">
        <f>SUM(I245:I246)</f>
        <v>388</v>
      </c>
      <c r="J247" s="64">
        <f>SUM(J245:J246)</f>
        <v>388</v>
      </c>
      <c r="K247" s="64">
        <f>SUM(K245:K246)</f>
        <v>388</v>
      </c>
      <c r="L247" s="64">
        <f>SUM(L245:L246)</f>
        <v>388</v>
      </c>
      <c r="M247" s="64">
        <f>SUM(M245:M246)</f>
        <v>2388</v>
      </c>
    </row>
    <row r="248" spans="1:13" outlineLevel="1">
      <c r="A248" s="182"/>
      <c r="B248" s="30"/>
      <c r="C248" s="19"/>
      <c r="D248" s="19"/>
      <c r="E248" s="19"/>
      <c r="F248" s="31"/>
      <c r="G248" s="31"/>
      <c r="H248" s="31"/>
      <c r="I248" s="24"/>
      <c r="J248" s="24"/>
      <c r="K248" s="24"/>
      <c r="L248" s="24"/>
      <c r="M248" s="24"/>
    </row>
    <row r="249" spans="1:13">
      <c r="A249" s="182"/>
      <c r="B249" s="16"/>
      <c r="C249" s="15"/>
      <c r="D249" s="15"/>
      <c r="E249" s="15"/>
      <c r="F249" s="15"/>
      <c r="G249" s="15"/>
      <c r="H249" s="21"/>
      <c r="I249" s="21"/>
      <c r="J249" s="21"/>
      <c r="K249" s="21"/>
      <c r="L249" s="21"/>
      <c r="M249" s="21"/>
    </row>
    <row r="250" spans="1:13">
      <c r="A250" s="182" t="s">
        <v>61</v>
      </c>
      <c r="B250" s="8" t="s">
        <v>168</v>
      </c>
      <c r="C250" s="9"/>
      <c r="D250" s="9"/>
      <c r="E250" s="9"/>
      <c r="F250" s="10"/>
      <c r="G250" s="10"/>
      <c r="H250" s="10"/>
      <c r="I250" s="11"/>
      <c r="J250" s="11"/>
      <c r="K250" s="11"/>
      <c r="L250" s="11"/>
      <c r="M250" s="11"/>
    </row>
    <row r="251" spans="1:13" outlineLevel="1">
      <c r="A251" s="182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</row>
    <row r="252" spans="1:13" ht="17.399999999999999" outlineLevel="1" thickBot="1">
      <c r="A252" s="183"/>
      <c r="B252" s="12" t="str">
        <f>Input!$B$131</f>
        <v>All figures in CHF millions unless stated</v>
      </c>
      <c r="C252" s="7"/>
      <c r="D252" s="7"/>
      <c r="E252" s="7"/>
      <c r="F252" s="13">
        <f>F$2</f>
        <v>2023</v>
      </c>
      <c r="G252" s="13">
        <f t="shared" ref="G252:M252" si="51">G$2</f>
        <v>2024</v>
      </c>
      <c r="H252" s="13">
        <f t="shared" si="51"/>
        <v>2025</v>
      </c>
      <c r="I252" s="14">
        <f t="shared" si="51"/>
        <v>2026</v>
      </c>
      <c r="J252" s="14">
        <f t="shared" si="51"/>
        <v>2027</v>
      </c>
      <c r="K252" s="14">
        <f t="shared" si="51"/>
        <v>2028</v>
      </c>
      <c r="L252" s="14">
        <f t="shared" si="51"/>
        <v>2029</v>
      </c>
      <c r="M252" s="14">
        <f t="shared" si="51"/>
        <v>2030</v>
      </c>
    </row>
    <row r="253" spans="1:13" ht="17.399999999999999" outlineLevel="1" thickTop="1">
      <c r="A253" s="183"/>
      <c r="B253" s="12" t="str">
        <f>CONCATENATE("Model Running: ",INDEX(Input!$B$12:$B$14,Input!$D$6)," Drivers")</f>
        <v>Model Running: Base Case Drivers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</row>
    <row r="254" spans="1:13" outlineLevel="1">
      <c r="A254" s="182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</row>
    <row r="255" spans="1:13" outlineLevel="1">
      <c r="A255" s="182"/>
      <c r="B255" s="16" t="s">
        <v>169</v>
      </c>
      <c r="C255" s="15"/>
      <c r="D255" s="15"/>
      <c r="E255" s="15"/>
      <c r="F255" s="192">
        <v>92998</v>
      </c>
      <c r="G255" s="192">
        <v>91354</v>
      </c>
      <c r="H255" s="192">
        <v>89490</v>
      </c>
      <c r="I255" s="21">
        <f>H255*(1+I9)</f>
        <v>89937.45</v>
      </c>
      <c r="J255" s="21">
        <f>I255*(1+J9)</f>
        <v>91286.511749999991</v>
      </c>
      <c r="K255" s="21">
        <f>J255*(1+K9)</f>
        <v>91742.944308749982</v>
      </c>
      <c r="L255" s="21">
        <f>K255*(1+L9)</f>
        <v>93577.803194924985</v>
      </c>
      <c r="M255" s="21">
        <f>L255*(1+M9)</f>
        <v>96197.981684382888</v>
      </c>
    </row>
    <row r="256" spans="1:13" outlineLevel="1">
      <c r="A256" s="182"/>
      <c r="B256" s="16" t="s">
        <v>63</v>
      </c>
      <c r="C256" s="15"/>
      <c r="D256" s="15"/>
      <c r="E256" s="15"/>
      <c r="F256" s="192">
        <v>353</v>
      </c>
      <c r="G256" s="192">
        <v>366</v>
      </c>
      <c r="H256" s="192">
        <v>395</v>
      </c>
      <c r="I256" s="21">
        <f>I255*I10</f>
        <v>377.73728999999997</v>
      </c>
      <c r="J256" s="21">
        <f>J255*J10</f>
        <v>392.53200052499994</v>
      </c>
      <c r="K256" s="21">
        <f>K255*K10</f>
        <v>394.49466052762494</v>
      </c>
      <c r="L256" s="21">
        <f>L255*L10</f>
        <v>411.74233405766995</v>
      </c>
      <c r="M256" s="21">
        <f>M255*M10</f>
        <v>432.89091757972295</v>
      </c>
    </row>
    <row r="257" spans="1:13" outlineLevel="1">
      <c r="A257" s="182"/>
      <c r="B257" s="16" t="s">
        <v>64</v>
      </c>
      <c r="C257" s="15"/>
      <c r="D257" s="15"/>
      <c r="E257" s="15"/>
      <c r="F257" s="192">
        <v>-50328</v>
      </c>
      <c r="G257" s="192">
        <v>-48670</v>
      </c>
      <c r="H257" s="192">
        <v>-48694</v>
      </c>
      <c r="I257" s="21">
        <f>H257*(1+I11)</f>
        <v>-48738.039819999998</v>
      </c>
      <c r="J257" s="21">
        <f>I257*(1+J11)</f>
        <v>-49651.425736424986</v>
      </c>
      <c r="K257" s="21">
        <f>J257*(1+K11)</f>
        <v>-50533.63254607447</v>
      </c>
      <c r="L257" s="21">
        <f>K257*(1+L11)</f>
        <v>-51462.02899924713</v>
      </c>
      <c r="M257" s="21">
        <f>L257*(1+M11)</f>
        <v>-52775.863791894226</v>
      </c>
    </row>
    <row r="258" spans="1:13" outlineLevel="1">
      <c r="A258" s="182"/>
      <c r="B258" s="16" t="s">
        <v>65</v>
      </c>
      <c r="C258" s="15"/>
      <c r="D258" s="15"/>
      <c r="E258" s="15"/>
      <c r="F258" s="192">
        <v>-7765</v>
      </c>
      <c r="G258" s="192">
        <v>-7567</v>
      </c>
      <c r="H258" s="192">
        <v>-7306</v>
      </c>
      <c r="I258" s="21">
        <f>I255*I12*-1</f>
        <v>-7284.9334500000004</v>
      </c>
      <c r="J258" s="21">
        <f>J255*J12*-1</f>
        <v>-7348.5641958749993</v>
      </c>
      <c r="K258" s="21">
        <f>K255*K12*-1</f>
        <v>-7339.4355446999989</v>
      </c>
      <c r="L258" s="21">
        <f>L255*L12*-1</f>
        <v>-7439.4353539965368</v>
      </c>
      <c r="M258" s="21">
        <f>M255*M12*-1</f>
        <v>-7599.6405530662487</v>
      </c>
    </row>
    <row r="259" spans="1:13" outlineLevel="1">
      <c r="A259" s="182"/>
      <c r="B259" s="16" t="s">
        <v>170</v>
      </c>
      <c r="C259" s="15"/>
      <c r="D259" s="15"/>
      <c r="E259" s="15"/>
      <c r="F259" s="192">
        <v>-17549</v>
      </c>
      <c r="G259" s="192">
        <v>-18112</v>
      </c>
      <c r="H259" s="192">
        <v>-17883</v>
      </c>
      <c r="I259" s="21">
        <f>I255*I13*-1</f>
        <v>-17987.490000000002</v>
      </c>
      <c r="J259" s="21">
        <f>J255*J13*-1</f>
        <v>-18348.588861749999</v>
      </c>
      <c r="K259" s="21">
        <f>K255*K13*-1</f>
        <v>-18440.331806058748</v>
      </c>
      <c r="L259" s="21">
        <f>L255*L13*-1</f>
        <v>-18902.71624537485</v>
      </c>
      <c r="M259" s="21">
        <f>M255*M13*-1</f>
        <v>-19528.190281929728</v>
      </c>
    </row>
    <row r="260" spans="1:13" outlineLevel="1">
      <c r="A260" s="182"/>
      <c r="B260" s="16" t="s">
        <v>171</v>
      </c>
      <c r="C260" s="15"/>
      <c r="D260" s="15"/>
      <c r="E260" s="15"/>
      <c r="F260" s="192">
        <v>-1656</v>
      </c>
      <c r="G260" s="192">
        <v>-1667</v>
      </c>
      <c r="H260" s="192">
        <v>-1613</v>
      </c>
      <c r="I260" s="21">
        <f>I255*I14*-1</f>
        <v>-1618.8740999999998</v>
      </c>
      <c r="J260" s="21">
        <f>J255*J14*-1</f>
        <v>-1643.1572114999997</v>
      </c>
      <c r="K260" s="21">
        <f>K255*K14*-1</f>
        <v>-1651.3729975574995</v>
      </c>
      <c r="L260" s="21">
        <f>L255*L14*-1</f>
        <v>-1684.4004575086497</v>
      </c>
      <c r="M260" s="21">
        <f>M255*M14*-1</f>
        <v>-1731.5636703188918</v>
      </c>
    </row>
    <row r="261" spans="1:13" outlineLevel="1">
      <c r="A261" s="182"/>
      <c r="B261" s="16" t="s">
        <v>68</v>
      </c>
      <c r="C261" s="15"/>
      <c r="D261" s="15"/>
      <c r="E261" s="15"/>
      <c r="F261" s="192">
        <v>132</v>
      </c>
      <c r="G261" s="192">
        <v>124</v>
      </c>
      <c r="H261" s="192">
        <v>135</v>
      </c>
      <c r="I261" s="21">
        <f>I255*I15</f>
        <v>125.91243</v>
      </c>
      <c r="J261" s="21">
        <f>J255*J15</f>
        <v>127.80111644999998</v>
      </c>
      <c r="K261" s="21">
        <f>K255*K15</f>
        <v>119.26582760137497</v>
      </c>
      <c r="L261" s="21">
        <f>L255*L15</f>
        <v>131.00892447289499</v>
      </c>
      <c r="M261" s="21">
        <f>M255*M15</f>
        <v>134.67717435813603</v>
      </c>
    </row>
    <row r="262" spans="1:13" outlineLevel="1">
      <c r="A262" s="182"/>
      <c r="B262" s="16" t="s">
        <v>69</v>
      </c>
      <c r="C262" s="15"/>
      <c r="D262" s="15"/>
      <c r="E262" s="15"/>
      <c r="F262" s="192">
        <v>-1665</v>
      </c>
      <c r="G262" s="192">
        <v>-1195</v>
      </c>
      <c r="H262" s="192">
        <v>-1849</v>
      </c>
      <c r="I262" s="21">
        <f>I255*I16*-1</f>
        <v>-2158.4987999999998</v>
      </c>
      <c r="J262" s="21">
        <f>J255*J16*-1</f>
        <v>-1734.4437232499997</v>
      </c>
      <c r="K262" s="21">
        <f>K255*K16*-1</f>
        <v>-1376.1441646312496</v>
      </c>
      <c r="L262" s="21">
        <f>L255*L16*-1</f>
        <v>-1076.1447367416374</v>
      </c>
      <c r="M262" s="21">
        <f>M255*M16*-1</f>
        <v>-913.88082600163739</v>
      </c>
    </row>
    <row r="263" spans="1:13" outlineLevel="1">
      <c r="A263" s="182"/>
      <c r="B263" s="61" t="s">
        <v>172</v>
      </c>
      <c r="C263" s="15"/>
      <c r="D263" s="15"/>
      <c r="E263" s="15"/>
      <c r="F263" s="65">
        <f>F255+F256+F257+F258+F259+F260+F261+F262</f>
        <v>14520</v>
      </c>
      <c r="G263" s="65">
        <f>G255+G256+G257+G258+G259+G260+G261+G262</f>
        <v>14633</v>
      </c>
      <c r="H263" s="65">
        <f>H255+H256+H257+H258+H259+H260+H261+H262</f>
        <v>12675</v>
      </c>
      <c r="I263" s="65">
        <f>SUM(I255:I262)</f>
        <v>12653.26355</v>
      </c>
      <c r="J263" s="65">
        <f>SUM(J255:J262)</f>
        <v>13080.665138175003</v>
      </c>
      <c r="K263" s="65">
        <f>SUM(K255:K262)</f>
        <v>12915.787737857012</v>
      </c>
      <c r="L263" s="65">
        <f>SUM(L255:L262)</f>
        <v>13555.828660586742</v>
      </c>
      <c r="M263" s="65">
        <f>SUM(M255:M262)</f>
        <v>14216.410653110011</v>
      </c>
    </row>
    <row r="264" spans="1:13" outlineLevel="1">
      <c r="A264" s="182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</row>
    <row r="265" spans="1:13" outlineLevel="1">
      <c r="A265" s="182"/>
      <c r="B265" s="16" t="s">
        <v>70</v>
      </c>
      <c r="C265" s="15"/>
      <c r="D265" s="15"/>
      <c r="E265" s="15"/>
      <c r="F265" s="192">
        <v>298</v>
      </c>
      <c r="G265" s="192">
        <v>474</v>
      </c>
      <c r="H265" s="192">
        <v>253</v>
      </c>
      <c r="I265" s="21">
        <f>I255*I17</f>
        <v>269.81234999999998</v>
      </c>
      <c r="J265" s="21">
        <f>J255*J17</f>
        <v>255.60223289999996</v>
      </c>
      <c r="K265" s="21">
        <f>K255*K17</f>
        <v>247.70594963362495</v>
      </c>
      <c r="L265" s="21">
        <f>L255*L17</f>
        <v>262.01784894578998</v>
      </c>
      <c r="M265" s="21">
        <f>M255*M17</f>
        <v>269.35434871627206</v>
      </c>
    </row>
    <row r="266" spans="1:13" outlineLevel="1">
      <c r="A266" s="182"/>
      <c r="B266" s="16" t="s">
        <v>71</v>
      </c>
      <c r="C266" s="15"/>
      <c r="D266" s="15"/>
      <c r="E266" s="15"/>
      <c r="F266" s="192">
        <v>-755</v>
      </c>
      <c r="G266" s="192">
        <v>-383</v>
      </c>
      <c r="H266" s="192">
        <v>-651</v>
      </c>
      <c r="I266" s="21">
        <f>I255*I18*-1</f>
        <v>-539.62469999999996</v>
      </c>
      <c r="J266" s="21">
        <f>J255*J18*-1</f>
        <v>-502.07581462499991</v>
      </c>
      <c r="K266" s="21">
        <f>K255*K18*-1</f>
        <v>-477.06331040549986</v>
      </c>
      <c r="L266" s="21">
        <f>L255*L18*-1</f>
        <v>-467.88901597462495</v>
      </c>
      <c r="M266" s="21">
        <f>M255*M18*-1</f>
        <v>-461.75031208503782</v>
      </c>
    </row>
    <row r="267" spans="1:13" outlineLevel="1">
      <c r="A267" s="182"/>
      <c r="B267" s="61" t="s">
        <v>173</v>
      </c>
      <c r="C267" s="15"/>
      <c r="D267" s="15"/>
      <c r="E267" s="15"/>
      <c r="F267" s="65">
        <f t="shared" ref="F267:M267" si="52">F263+F265+F266</f>
        <v>14063</v>
      </c>
      <c r="G267" s="65">
        <f t="shared" si="52"/>
        <v>14724</v>
      </c>
      <c r="H267" s="65">
        <f t="shared" si="52"/>
        <v>12277</v>
      </c>
      <c r="I267" s="65">
        <f t="shared" si="52"/>
        <v>12383.4512</v>
      </c>
      <c r="J267" s="65">
        <f t="shared" si="52"/>
        <v>12834.191556450005</v>
      </c>
      <c r="K267" s="65">
        <f t="shared" si="52"/>
        <v>12686.430377085137</v>
      </c>
      <c r="L267" s="65">
        <f t="shared" si="52"/>
        <v>13349.957493557908</v>
      </c>
      <c r="M267" s="65">
        <f t="shared" si="52"/>
        <v>14024.014689741245</v>
      </c>
    </row>
    <row r="268" spans="1:13" outlineLevel="1">
      <c r="A268" s="182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</row>
    <row r="269" spans="1:13" outlineLevel="1">
      <c r="A269" s="182"/>
      <c r="B269" s="16" t="s">
        <v>174</v>
      </c>
      <c r="C269" s="15"/>
      <c r="D269" s="15"/>
      <c r="E269" s="15"/>
      <c r="F269" s="192">
        <v>284</v>
      </c>
      <c r="G269" s="192">
        <v>358</v>
      </c>
      <c r="H269" s="192">
        <v>300</v>
      </c>
      <c r="I269" s="21">
        <f>I176</f>
        <v>155.75</v>
      </c>
      <c r="J269" s="21">
        <f>J176</f>
        <v>146.53181045001836</v>
      </c>
      <c r="K269" s="21">
        <f>K176</f>
        <v>160.27943017990162</v>
      </c>
      <c r="L269" s="21">
        <f>L176</f>
        <v>186.4186992372837</v>
      </c>
      <c r="M269" s="21">
        <f>M176</f>
        <v>230.47886572512044</v>
      </c>
    </row>
    <row r="270" spans="1:13" outlineLevel="1">
      <c r="A270" s="182"/>
      <c r="B270" s="16" t="s">
        <v>175</v>
      </c>
      <c r="C270" s="15"/>
      <c r="D270" s="15"/>
      <c r="E270" s="15"/>
      <c r="F270" s="192">
        <v>-1644</v>
      </c>
      <c r="G270" s="192">
        <v>-1843</v>
      </c>
      <c r="H270" s="192">
        <v>-1826</v>
      </c>
      <c r="I270" s="248">
        <f>-I219</f>
        <v>-1677.7080000000001</v>
      </c>
      <c r="J270" s="248">
        <f>-J219</f>
        <v>-1644.1538399999999</v>
      </c>
      <c r="K270" s="248">
        <f>-K219</f>
        <v>-1627.7123016</v>
      </c>
      <c r="L270" s="248">
        <f>-L219</f>
        <v>-1627.7123016</v>
      </c>
      <c r="M270" s="248">
        <f>-M219</f>
        <v>-1643.989424616</v>
      </c>
    </row>
    <row r="271" spans="1:13" outlineLevel="1">
      <c r="A271" s="182"/>
      <c r="B271" s="61" t="s">
        <v>176</v>
      </c>
      <c r="C271" s="15"/>
      <c r="D271" s="15"/>
      <c r="E271" s="15"/>
      <c r="F271" s="65">
        <f t="shared" ref="F271:M271" si="53">F267+F269+F270</f>
        <v>12703</v>
      </c>
      <c r="G271" s="65">
        <f t="shared" si="53"/>
        <v>13239</v>
      </c>
      <c r="H271" s="65">
        <f t="shared" si="53"/>
        <v>10751</v>
      </c>
      <c r="I271" s="65">
        <f t="shared" si="53"/>
        <v>10861.493199999999</v>
      </c>
      <c r="J271" s="65">
        <f t="shared" si="53"/>
        <v>11336.569526900024</v>
      </c>
      <c r="K271" s="65">
        <f t="shared" si="53"/>
        <v>11218.997505665038</v>
      </c>
      <c r="L271" s="65">
        <f t="shared" si="53"/>
        <v>11908.66389119519</v>
      </c>
      <c r="M271" s="65">
        <f t="shared" si="53"/>
        <v>12610.504130850366</v>
      </c>
    </row>
    <row r="272" spans="1:13" outlineLevel="1">
      <c r="A272" s="182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</row>
    <row r="273" spans="1:13" outlineLevel="1">
      <c r="A273" s="182"/>
      <c r="B273" s="16" t="s">
        <v>46</v>
      </c>
      <c r="C273" s="15"/>
      <c r="D273" s="15"/>
      <c r="E273" s="15"/>
      <c r="F273" s="192">
        <v>-2314</v>
      </c>
      <c r="G273" s="192">
        <v>-3314</v>
      </c>
      <c r="H273" s="192">
        <v>-2640</v>
      </c>
      <c r="I273" s="21">
        <f>-I271*I19</f>
        <v>-2552.4509019999996</v>
      </c>
      <c r="J273" s="21">
        <f>-J271*J19</f>
        <v>-2664.0938388215054</v>
      </c>
      <c r="K273" s="21">
        <f>-K271*K19</f>
        <v>-2636.4644138312838</v>
      </c>
      <c r="L273" s="21">
        <f>-L271*L19</f>
        <v>-2798.5360144308697</v>
      </c>
      <c r="M273" s="21">
        <f>-M271*M19</f>
        <v>-2963.4684707498359</v>
      </c>
    </row>
    <row r="274" spans="1:13" outlineLevel="1">
      <c r="A274" s="182"/>
      <c r="B274" s="16" t="s">
        <v>130</v>
      </c>
      <c r="C274" s="15"/>
      <c r="D274" s="15"/>
      <c r="E274" s="15"/>
      <c r="F274" s="192">
        <v>1120</v>
      </c>
      <c r="G274" s="192">
        <v>1249</v>
      </c>
      <c r="H274" s="192">
        <v>1143</v>
      </c>
      <c r="I274" s="21">
        <f>H274*(1+I20)</f>
        <v>1177.29</v>
      </c>
      <c r="J274" s="21">
        <f>I274*(1+J20)</f>
        <v>1224.3815999999999</v>
      </c>
      <c r="K274" s="21">
        <f>J274*(1+K20)</f>
        <v>1273.3568640000001</v>
      </c>
      <c r="L274" s="21">
        <f>K274*(1+L20)</f>
        <v>1337.0247072000002</v>
      </c>
      <c r="M274" s="21">
        <f>L274*(1+M20)</f>
        <v>1403.8759425600003</v>
      </c>
    </row>
    <row r="275" spans="1:13" outlineLevel="1">
      <c r="A275" s="182"/>
      <c r="B275" s="61" t="s">
        <v>177</v>
      </c>
      <c r="C275" s="15"/>
      <c r="D275" s="15"/>
      <c r="E275" s="15"/>
      <c r="F275" s="65">
        <f t="shared" ref="F275:M275" si="54">F271+F273+F274</f>
        <v>11509</v>
      </c>
      <c r="G275" s="65">
        <f t="shared" si="54"/>
        <v>11174</v>
      </c>
      <c r="H275" s="65">
        <f t="shared" si="54"/>
        <v>9254</v>
      </c>
      <c r="I275" s="65">
        <f t="shared" si="54"/>
        <v>9486.3322980000012</v>
      </c>
      <c r="J275" s="65">
        <f t="shared" si="54"/>
        <v>9896.8572880785196</v>
      </c>
      <c r="K275" s="65">
        <f t="shared" si="54"/>
        <v>9855.8899558337544</v>
      </c>
      <c r="L275" s="65">
        <f t="shared" si="54"/>
        <v>10447.15258396432</v>
      </c>
      <c r="M275" s="65">
        <f t="shared" si="54"/>
        <v>11050.91160266053</v>
      </c>
    </row>
    <row r="276" spans="1:13" outlineLevel="1">
      <c r="A276" s="182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</row>
    <row r="277" spans="1:13" outlineLevel="1">
      <c r="A277" s="182"/>
      <c r="B277" s="16" t="s">
        <v>178</v>
      </c>
      <c r="C277" s="15"/>
      <c r="D277" s="15"/>
      <c r="E277" s="15"/>
      <c r="F277" s="192">
        <v>300</v>
      </c>
      <c r="G277" s="192">
        <v>290</v>
      </c>
      <c r="H277" s="192">
        <v>221</v>
      </c>
      <c r="I277" s="21">
        <f>I275*I21</f>
        <v>237.15830745000005</v>
      </c>
      <c r="J277" s="21">
        <f>J275*J21</f>
        <v>247.421432201963</v>
      </c>
      <c r="K277" s="21">
        <f>K275*K21</f>
        <v>246.39724889584386</v>
      </c>
      <c r="L277" s="21">
        <f>L275*L21</f>
        <v>261.17881459910802</v>
      </c>
      <c r="M277" s="21">
        <f>M275*M21</f>
        <v>276.27279006651327</v>
      </c>
    </row>
    <row r="278" spans="1:13" outlineLevel="1">
      <c r="A278" s="182"/>
      <c r="B278" s="61" t="s">
        <v>179</v>
      </c>
      <c r="C278" s="15"/>
      <c r="D278" s="15"/>
      <c r="E278" s="15"/>
      <c r="F278" s="65">
        <f t="shared" ref="F278:M278" si="55">F275-F277</f>
        <v>11209</v>
      </c>
      <c r="G278" s="65">
        <f t="shared" si="55"/>
        <v>10884</v>
      </c>
      <c r="H278" s="65">
        <f t="shared" si="55"/>
        <v>9033</v>
      </c>
      <c r="I278" s="65">
        <f t="shared" si="55"/>
        <v>9249.1739905500017</v>
      </c>
      <c r="J278" s="65">
        <f t="shared" si="55"/>
        <v>9649.4358558765562</v>
      </c>
      <c r="K278" s="65">
        <f t="shared" si="55"/>
        <v>9609.49270693791</v>
      </c>
      <c r="L278" s="65">
        <f t="shared" si="55"/>
        <v>10185.973769365211</v>
      </c>
      <c r="M278" s="65">
        <f t="shared" si="55"/>
        <v>10774.638812594016</v>
      </c>
    </row>
    <row r="279" spans="1:13" outlineLevel="1">
      <c r="A279" s="182"/>
      <c r="B279" s="30"/>
      <c r="C279" s="19"/>
      <c r="D279" s="19"/>
      <c r="E279" s="19"/>
      <c r="F279" s="31"/>
      <c r="G279" s="31"/>
      <c r="H279" s="31"/>
      <c r="I279" s="24"/>
      <c r="J279" s="24"/>
      <c r="K279" s="24"/>
      <c r="L279" s="24"/>
      <c r="M279" s="24"/>
    </row>
    <row r="280" spans="1:13">
      <c r="A280" s="182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</row>
    <row r="281" spans="1:13">
      <c r="A281" s="182" t="s">
        <v>61</v>
      </c>
      <c r="B281" s="8" t="s">
        <v>180</v>
      </c>
      <c r="C281" s="9"/>
      <c r="D281" s="9"/>
      <c r="E281" s="9"/>
      <c r="F281" s="10"/>
      <c r="G281" s="10"/>
      <c r="H281" s="10"/>
      <c r="I281" s="11"/>
      <c r="J281" s="11"/>
      <c r="K281" s="11"/>
      <c r="L281" s="11"/>
      <c r="M281" s="11"/>
    </row>
    <row r="282" spans="1:13" outlineLevel="1">
      <c r="A282" s="182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</row>
    <row r="283" spans="1:13" ht="17.399999999999999" outlineLevel="1" thickBot="1">
      <c r="A283" s="183"/>
      <c r="B283" s="12" t="str">
        <f>Input!$B$131</f>
        <v>All figures in CHF millions unless stated</v>
      </c>
      <c r="C283" s="7"/>
      <c r="D283" s="7"/>
      <c r="E283" s="7"/>
      <c r="F283" s="13">
        <f>F$2</f>
        <v>2023</v>
      </c>
      <c r="G283" s="13">
        <f t="shared" ref="G283:M283" si="56">G$2</f>
        <v>2024</v>
      </c>
      <c r="H283" s="13">
        <f t="shared" si="56"/>
        <v>2025</v>
      </c>
      <c r="I283" s="14">
        <f t="shared" si="56"/>
        <v>2026</v>
      </c>
      <c r="J283" s="14">
        <f t="shared" si="56"/>
        <v>2027</v>
      </c>
      <c r="K283" s="14">
        <f t="shared" si="56"/>
        <v>2028</v>
      </c>
      <c r="L283" s="14">
        <f t="shared" si="56"/>
        <v>2029</v>
      </c>
      <c r="M283" s="14">
        <f t="shared" si="56"/>
        <v>2030</v>
      </c>
    </row>
    <row r="284" spans="1:13" ht="17.399999999999999" outlineLevel="1" thickTop="1">
      <c r="A284" s="183"/>
      <c r="B284" s="12" t="str">
        <f>CONCATENATE("Model Running: ",INDEX(Input!$B$12:$B$14,Input!$D$6)," Drivers")</f>
        <v>Model Running: Base Case Drivers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spans="1:13" outlineLevel="1">
      <c r="A285" s="182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</row>
    <row r="286" spans="1:13" outlineLevel="1">
      <c r="A286" s="182"/>
      <c r="B286" s="66" t="s">
        <v>181</v>
      </c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</row>
    <row r="287" spans="1:13" outlineLevel="1">
      <c r="A287" s="182"/>
      <c r="B287" s="16" t="s">
        <v>173</v>
      </c>
      <c r="C287" s="15"/>
      <c r="D287" s="15"/>
      <c r="E287" s="15"/>
      <c r="F287" s="192">
        <v>14063</v>
      </c>
      <c r="G287" s="192">
        <v>14724</v>
      </c>
      <c r="H287" s="192">
        <v>12277</v>
      </c>
      <c r="I287" s="21">
        <f>I267</f>
        <v>12383.4512</v>
      </c>
      <c r="J287" s="21">
        <f>J267</f>
        <v>12834.191556450005</v>
      </c>
      <c r="K287" s="21">
        <f>K267</f>
        <v>12686.430377085137</v>
      </c>
      <c r="L287" s="21">
        <f>L267</f>
        <v>13349.957493557908</v>
      </c>
      <c r="M287" s="21">
        <f>M267</f>
        <v>14024.014689741245</v>
      </c>
    </row>
    <row r="288" spans="1:13" outlineLevel="1">
      <c r="A288" s="182"/>
      <c r="B288" s="16" t="s">
        <v>182</v>
      </c>
      <c r="C288" s="15"/>
      <c r="D288" s="15"/>
      <c r="E288" s="15"/>
      <c r="F288" s="192">
        <v>3458</v>
      </c>
      <c r="G288" s="192">
        <v>3582</v>
      </c>
      <c r="H288" s="192">
        <v>3633</v>
      </c>
      <c r="I288" s="21">
        <f>I87</f>
        <v>3445.5400000000004</v>
      </c>
      <c r="J288" s="21">
        <f>J87</f>
        <v>3487.4769946500001</v>
      </c>
      <c r="K288" s="21">
        <f>K87</f>
        <v>3522.5745197118003</v>
      </c>
      <c r="L288" s="21">
        <f>L87</f>
        <v>3554.3918783964446</v>
      </c>
      <c r="M288" s="21">
        <f>M87</f>
        <v>3639.1378324679717</v>
      </c>
    </row>
    <row r="289" spans="1:13" outlineLevel="1">
      <c r="A289" s="182"/>
      <c r="B289" s="16" t="s">
        <v>183</v>
      </c>
      <c r="C289" s="15"/>
      <c r="D289" s="15"/>
      <c r="E289" s="15"/>
      <c r="F289" s="192">
        <v>647</v>
      </c>
      <c r="G289" s="192">
        <v>580</v>
      </c>
      <c r="H289" s="192">
        <v>923</v>
      </c>
      <c r="I289" s="248">
        <f>-(I262+I266)*I22</f>
        <v>944.34322499999985</v>
      </c>
      <c r="J289" s="248">
        <f>-(J262+J266)*J22</f>
        <v>782.78183825624978</v>
      </c>
      <c r="K289" s="248">
        <f>-(K262+K266)*K22</f>
        <v>648.62261626286227</v>
      </c>
      <c r="L289" s="248">
        <f>-(L262+L266)*L22</f>
        <v>540.41181345069174</v>
      </c>
      <c r="M289" s="248">
        <f>-(M262+M266)*M22</f>
        <v>481.4708983303363</v>
      </c>
    </row>
    <row r="290" spans="1:13" outlineLevel="1">
      <c r="A290" s="182"/>
      <c r="B290" s="16" t="s">
        <v>184</v>
      </c>
      <c r="C290" s="15"/>
      <c r="D290" s="15"/>
      <c r="E290" s="15"/>
      <c r="F290" s="192">
        <v>221</v>
      </c>
      <c r="G290" s="192">
        <v>62</v>
      </c>
      <c r="H290" s="192">
        <v>237</v>
      </c>
      <c r="I290" s="223">
        <v>0</v>
      </c>
      <c r="J290" s="223">
        <v>0</v>
      </c>
      <c r="K290" s="223">
        <v>0</v>
      </c>
      <c r="L290" s="223">
        <v>0</v>
      </c>
      <c r="M290" s="223">
        <v>0</v>
      </c>
    </row>
    <row r="291" spans="1:13" outlineLevel="1">
      <c r="A291" s="182"/>
      <c r="B291" s="16" t="s">
        <v>185</v>
      </c>
      <c r="C291" s="15"/>
      <c r="D291" s="15"/>
      <c r="E291" s="15"/>
      <c r="F291" s="192">
        <v>82</v>
      </c>
      <c r="G291" s="192">
        <v>-229</v>
      </c>
      <c r="H291" s="192">
        <v>110</v>
      </c>
      <c r="I291" s="223">
        <v>0</v>
      </c>
      <c r="J291" s="223">
        <v>0</v>
      </c>
      <c r="K291" s="223">
        <v>0</v>
      </c>
      <c r="L291" s="223">
        <v>0</v>
      </c>
      <c r="M291" s="223">
        <v>0</v>
      </c>
    </row>
    <row r="292" spans="1:13" outlineLevel="1">
      <c r="A292" s="182"/>
      <c r="B292" s="61" t="s">
        <v>186</v>
      </c>
      <c r="C292" s="15"/>
      <c r="D292" s="15"/>
      <c r="E292" s="15"/>
      <c r="F292" s="65">
        <f t="shared" ref="F292:M292" si="57">F287+F288+F289+F290+F291</f>
        <v>18471</v>
      </c>
      <c r="G292" s="65">
        <f t="shared" si="57"/>
        <v>18719</v>
      </c>
      <c r="H292" s="65">
        <f t="shared" si="57"/>
        <v>17180</v>
      </c>
      <c r="I292" s="65">
        <f t="shared" si="57"/>
        <v>16773.334425000001</v>
      </c>
      <c r="J292" s="65">
        <f t="shared" si="57"/>
        <v>17104.450389356254</v>
      </c>
      <c r="K292" s="65">
        <f t="shared" si="57"/>
        <v>16857.627513059801</v>
      </c>
      <c r="L292" s="65">
        <f t="shared" si="57"/>
        <v>17444.761185405045</v>
      </c>
      <c r="M292" s="65">
        <f t="shared" si="57"/>
        <v>18144.623420539552</v>
      </c>
    </row>
    <row r="293" spans="1:13" outlineLevel="1">
      <c r="A293" s="182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</row>
    <row r="294" spans="1:13" outlineLevel="1">
      <c r="A294" s="182"/>
      <c r="B294" s="16" t="s">
        <v>187</v>
      </c>
      <c r="C294" s="15"/>
      <c r="D294" s="15"/>
      <c r="E294" s="15"/>
      <c r="F294" s="192">
        <v>1134</v>
      </c>
      <c r="G294" s="192">
        <v>1208</v>
      </c>
      <c r="H294" s="192">
        <v>488</v>
      </c>
      <c r="I294" s="21">
        <f>I66</f>
        <v>119.12222613698532</v>
      </c>
      <c r="J294" s="21">
        <f>J66</f>
        <v>348.47536059198291</v>
      </c>
      <c r="K294" s="21">
        <f>K66</f>
        <v>585.5828664604777</v>
      </c>
      <c r="L294" s="21">
        <f>L66</f>
        <v>443.36926282632163</v>
      </c>
      <c r="M294" s="21">
        <f>M66</f>
        <v>199.48765451615839</v>
      </c>
    </row>
    <row r="295" spans="1:13" outlineLevel="1">
      <c r="A295" s="182"/>
      <c r="B295" s="16" t="s">
        <v>188</v>
      </c>
      <c r="C295" s="15"/>
      <c r="D295" s="15"/>
      <c r="E295" s="15"/>
      <c r="F295" s="192">
        <v>-425</v>
      </c>
      <c r="G295" s="192">
        <v>-334</v>
      </c>
      <c r="H295" s="192">
        <v>-807</v>
      </c>
      <c r="I295" s="223">
        <v>0</v>
      </c>
      <c r="J295" s="223">
        <v>0</v>
      </c>
      <c r="K295" s="223">
        <v>0</v>
      </c>
      <c r="L295" s="223">
        <v>0</v>
      </c>
      <c r="M295" s="223">
        <v>0</v>
      </c>
    </row>
    <row r="296" spans="1:13" outlineLevel="1">
      <c r="A296" s="182"/>
      <c r="B296" s="61" t="s">
        <v>189</v>
      </c>
      <c r="C296" s="15"/>
      <c r="D296" s="15"/>
      <c r="E296" s="15"/>
      <c r="F296" s="65">
        <f t="shared" ref="F296:M296" si="58">F292+F294+F295</f>
        <v>19180</v>
      </c>
      <c r="G296" s="65">
        <f t="shared" si="58"/>
        <v>19593</v>
      </c>
      <c r="H296" s="65">
        <f t="shared" si="58"/>
        <v>16861</v>
      </c>
      <c r="I296" s="65">
        <f t="shared" si="58"/>
        <v>16892.456651136985</v>
      </c>
      <c r="J296" s="65">
        <f t="shared" si="58"/>
        <v>17452.925749948237</v>
      </c>
      <c r="K296" s="65">
        <f t="shared" si="58"/>
        <v>17443.210379520278</v>
      </c>
      <c r="L296" s="65">
        <f t="shared" si="58"/>
        <v>17888.130448231368</v>
      </c>
      <c r="M296" s="65">
        <f t="shared" si="58"/>
        <v>18344.111075055709</v>
      </c>
    </row>
    <row r="297" spans="1:13" outlineLevel="1">
      <c r="A297" s="182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</row>
    <row r="298" spans="1:13" outlineLevel="1">
      <c r="A298" s="182"/>
      <c r="B298" s="16" t="s">
        <v>190</v>
      </c>
      <c r="C298" s="15"/>
      <c r="D298" s="15"/>
      <c r="E298" s="15"/>
      <c r="F298" s="192">
        <v>-1330</v>
      </c>
      <c r="G298" s="192">
        <v>-1539</v>
      </c>
      <c r="H298" s="192">
        <v>-1618</v>
      </c>
      <c r="I298" s="21">
        <f>I270</f>
        <v>-1677.7080000000001</v>
      </c>
      <c r="J298" s="21">
        <f>J270</f>
        <v>-1644.1538399999999</v>
      </c>
      <c r="K298" s="21">
        <f>K270</f>
        <v>-1627.7123016</v>
      </c>
      <c r="L298" s="21">
        <f>L270</f>
        <v>-1627.7123016</v>
      </c>
      <c r="M298" s="21">
        <f>M270</f>
        <v>-1643.989424616</v>
      </c>
    </row>
    <row r="299" spans="1:13" outlineLevel="1">
      <c r="A299" s="182"/>
      <c r="B299" s="16" t="s">
        <v>191</v>
      </c>
      <c r="C299" s="15"/>
      <c r="D299" s="15"/>
      <c r="E299" s="15"/>
      <c r="F299" s="192">
        <v>193</v>
      </c>
      <c r="G299" s="192">
        <v>273</v>
      </c>
      <c r="H299" s="192">
        <v>205</v>
      </c>
      <c r="I299" s="21">
        <f>I269</f>
        <v>155.75</v>
      </c>
      <c r="J299" s="21">
        <f>J269</f>
        <v>146.53181045001836</v>
      </c>
      <c r="K299" s="21">
        <f>K269</f>
        <v>160.27943017990162</v>
      </c>
      <c r="L299" s="21">
        <f>L269</f>
        <v>186.4186992372837</v>
      </c>
      <c r="M299" s="21">
        <f>M269</f>
        <v>230.47886572512044</v>
      </c>
    </row>
    <row r="300" spans="1:13" outlineLevel="1">
      <c r="A300" s="182"/>
      <c r="B300" s="16" t="s">
        <v>192</v>
      </c>
      <c r="C300" s="15"/>
      <c r="D300" s="15"/>
      <c r="E300" s="15"/>
      <c r="F300" s="192">
        <v>-2801</v>
      </c>
      <c r="G300" s="192">
        <v>-2411</v>
      </c>
      <c r="H300" s="192">
        <v>-2298</v>
      </c>
      <c r="I300" s="248">
        <f>-I139*I19</f>
        <v>-2423.3371507229999</v>
      </c>
      <c r="J300" s="248">
        <f>-J139*J19</f>
        <v>-2530.3826554033953</v>
      </c>
      <c r="K300" s="248">
        <f>-K139*K19</f>
        <v>-2497.9539858183502</v>
      </c>
      <c r="L300" s="248">
        <f>-L139*L19</f>
        <v>-2654.9828795596472</v>
      </c>
      <c r="M300" s="248">
        <f>-M139*M19</f>
        <v>-2827.1548956136226</v>
      </c>
    </row>
    <row r="301" spans="1:13" outlineLevel="1">
      <c r="A301" s="182"/>
      <c r="B301" s="16" t="s">
        <v>193</v>
      </c>
      <c r="C301" s="15"/>
      <c r="D301" s="15"/>
      <c r="E301" s="15"/>
      <c r="F301" s="192">
        <v>699</v>
      </c>
      <c r="G301" s="192">
        <v>759</v>
      </c>
      <c r="H301" s="192">
        <v>2754</v>
      </c>
      <c r="I301" s="21">
        <f>I161</f>
        <v>786.24</v>
      </c>
      <c r="J301" s="21">
        <f>J161</f>
        <v>749.22300000000007</v>
      </c>
      <c r="K301" s="21">
        <f>K161</f>
        <v>777.73251600000003</v>
      </c>
      <c r="L301" s="21">
        <f>L161</f>
        <v>807.46997687999999</v>
      </c>
      <c r="M301" s="21">
        <f>M161</f>
        <v>839.24326069920005</v>
      </c>
    </row>
    <row r="302" spans="1:13" outlineLevel="1">
      <c r="A302" s="182"/>
      <c r="B302" s="61" t="s">
        <v>194</v>
      </c>
      <c r="C302" s="15"/>
      <c r="D302" s="15"/>
      <c r="E302" s="15"/>
      <c r="F302" s="65">
        <f t="shared" ref="F302:M302" si="59">F296+F298+F299+F300+F301</f>
        <v>15941</v>
      </c>
      <c r="G302" s="65">
        <f t="shared" si="59"/>
        <v>16675</v>
      </c>
      <c r="H302" s="65">
        <f t="shared" si="59"/>
        <v>15904</v>
      </c>
      <c r="I302" s="65">
        <f t="shared" si="59"/>
        <v>13733.401500413984</v>
      </c>
      <c r="J302" s="65">
        <f t="shared" si="59"/>
        <v>14174.144064994862</v>
      </c>
      <c r="K302" s="65">
        <f t="shared" si="59"/>
        <v>14255.556038281829</v>
      </c>
      <c r="L302" s="65">
        <f t="shared" si="59"/>
        <v>14599.323943189005</v>
      </c>
      <c r="M302" s="65">
        <f t="shared" si="59"/>
        <v>14942.688881250406</v>
      </c>
    </row>
    <row r="303" spans="1:13" outlineLevel="1">
      <c r="A303" s="182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</row>
    <row r="304" spans="1:13" outlineLevel="1">
      <c r="A304" s="182"/>
      <c r="B304" s="66" t="s">
        <v>195</v>
      </c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</row>
    <row r="305" spans="1:13" outlineLevel="1">
      <c r="A305" s="182"/>
      <c r="B305" s="16" t="s">
        <v>25</v>
      </c>
      <c r="C305" s="15"/>
      <c r="D305" s="15"/>
      <c r="E305" s="15"/>
      <c r="F305" s="192">
        <v>-5714</v>
      </c>
      <c r="G305" s="192">
        <v>-5638</v>
      </c>
      <c r="H305" s="192">
        <v>-4527</v>
      </c>
      <c r="I305" s="21">
        <f>I76</f>
        <v>-4406.93505</v>
      </c>
      <c r="J305" s="21">
        <f>J76</f>
        <v>-4381.7525639999994</v>
      </c>
      <c r="K305" s="21">
        <f>K76</f>
        <v>-4403.661326819999</v>
      </c>
      <c r="L305" s="21">
        <f>L76</f>
        <v>-4398.1567501614745</v>
      </c>
      <c r="M305" s="21">
        <f>M76</f>
        <v>-4521.3051391659956</v>
      </c>
    </row>
    <row r="306" spans="1:13" outlineLevel="1">
      <c r="A306" s="182"/>
      <c r="B306" s="16" t="s">
        <v>27</v>
      </c>
      <c r="C306" s="15"/>
      <c r="D306" s="15"/>
      <c r="E306" s="15"/>
      <c r="F306" s="192">
        <v>-489</v>
      </c>
      <c r="G306" s="192">
        <v>-325</v>
      </c>
      <c r="H306" s="192">
        <v>-384</v>
      </c>
      <c r="I306" s="21">
        <f>I79</f>
        <v>-359.74979999999999</v>
      </c>
      <c r="J306" s="21">
        <f>J79</f>
        <v>-365.14604699999995</v>
      </c>
      <c r="K306" s="21">
        <f>K79</f>
        <v>-366.97177723499993</v>
      </c>
      <c r="L306" s="21">
        <f>L79</f>
        <v>-421.10011437716241</v>
      </c>
      <c r="M306" s="21">
        <f>M79</f>
        <v>-432.89091757972295</v>
      </c>
    </row>
    <row r="307" spans="1:13" outlineLevel="1">
      <c r="A307" s="182"/>
      <c r="B307" s="16" t="s">
        <v>196</v>
      </c>
      <c r="C307" s="15"/>
      <c r="D307" s="15"/>
      <c r="E307" s="15"/>
      <c r="F307" s="192">
        <v>-211</v>
      </c>
      <c r="G307" s="192">
        <v>-809</v>
      </c>
      <c r="H307" s="192">
        <v>-75</v>
      </c>
      <c r="I307" s="223">
        <v>0</v>
      </c>
      <c r="J307" s="223">
        <v>0</v>
      </c>
      <c r="K307" s="223">
        <v>0</v>
      </c>
      <c r="L307" s="223">
        <v>0</v>
      </c>
      <c r="M307" s="223">
        <v>0</v>
      </c>
    </row>
    <row r="308" spans="1:13" outlineLevel="1">
      <c r="A308" s="182"/>
      <c r="B308" s="16" t="s">
        <v>197</v>
      </c>
      <c r="C308" s="15"/>
      <c r="D308" s="15"/>
      <c r="E308" s="15"/>
      <c r="F308" s="192">
        <v>215</v>
      </c>
      <c r="G308" s="192">
        <v>-23</v>
      </c>
      <c r="H308" s="192">
        <v>-81</v>
      </c>
      <c r="I308" s="223">
        <v>0</v>
      </c>
      <c r="J308" s="223">
        <v>0</v>
      </c>
      <c r="K308" s="223">
        <v>0</v>
      </c>
      <c r="L308" s="223">
        <v>0</v>
      </c>
      <c r="M308" s="223">
        <v>0</v>
      </c>
    </row>
    <row r="309" spans="1:13" outlineLevel="1">
      <c r="A309" s="182"/>
      <c r="B309" s="16" t="s">
        <v>131</v>
      </c>
      <c r="C309" s="15"/>
      <c r="D309" s="15"/>
      <c r="E309" s="15"/>
      <c r="F309" s="192">
        <v>-582</v>
      </c>
      <c r="G309" s="192">
        <v>-532</v>
      </c>
      <c r="H309" s="192">
        <v>208</v>
      </c>
      <c r="I309" s="223">
        <v>0</v>
      </c>
      <c r="J309" s="223">
        <v>0</v>
      </c>
      <c r="K309" s="223">
        <v>0</v>
      </c>
      <c r="L309" s="223">
        <v>0</v>
      </c>
      <c r="M309" s="223">
        <v>0</v>
      </c>
    </row>
    <row r="310" spans="1:13" outlineLevel="1">
      <c r="A310" s="182"/>
      <c r="B310" s="16" t="s">
        <v>198</v>
      </c>
      <c r="C310" s="15"/>
      <c r="D310" s="15"/>
      <c r="E310" s="15"/>
      <c r="F310" s="192">
        <v>-80</v>
      </c>
      <c r="G310" s="192">
        <v>-1251</v>
      </c>
      <c r="H310" s="192">
        <v>424</v>
      </c>
      <c r="I310" s="223">
        <v>0</v>
      </c>
      <c r="J310" s="223">
        <v>0</v>
      </c>
      <c r="K310" s="223">
        <v>0</v>
      </c>
      <c r="L310" s="223">
        <v>0</v>
      </c>
      <c r="M310" s="223">
        <v>0</v>
      </c>
    </row>
    <row r="311" spans="1:13" outlineLevel="1">
      <c r="A311" s="182"/>
      <c r="B311" s="16" t="s">
        <v>199</v>
      </c>
      <c r="C311" s="15"/>
      <c r="D311" s="15"/>
      <c r="E311" s="15"/>
      <c r="F311" s="192">
        <v>0</v>
      </c>
      <c r="G311" s="192">
        <v>0</v>
      </c>
      <c r="H311" s="192">
        <v>-70</v>
      </c>
      <c r="I311" s="223">
        <v>0</v>
      </c>
      <c r="J311" s="223">
        <v>0</v>
      </c>
      <c r="K311" s="223">
        <v>0</v>
      </c>
      <c r="L311" s="223">
        <v>0</v>
      </c>
      <c r="M311" s="223">
        <v>0</v>
      </c>
    </row>
    <row r="312" spans="1:13" outlineLevel="1">
      <c r="A312" s="182"/>
      <c r="B312" s="16" t="s">
        <v>200</v>
      </c>
      <c r="C312" s="15"/>
      <c r="D312" s="15"/>
      <c r="E312" s="15"/>
      <c r="F312" s="192">
        <v>665</v>
      </c>
      <c r="G312" s="192">
        <v>-46</v>
      </c>
      <c r="H312" s="192">
        <v>138</v>
      </c>
      <c r="I312" s="223">
        <v>0</v>
      </c>
      <c r="J312" s="223">
        <v>0</v>
      </c>
      <c r="K312" s="223">
        <v>0</v>
      </c>
      <c r="L312" s="223">
        <v>0</v>
      </c>
      <c r="M312" s="223">
        <v>0</v>
      </c>
    </row>
    <row r="313" spans="1:13" outlineLevel="1">
      <c r="A313" s="182"/>
      <c r="B313" s="61" t="s">
        <v>201</v>
      </c>
      <c r="C313" s="15"/>
      <c r="D313" s="15"/>
      <c r="E313" s="15"/>
      <c r="F313" s="65">
        <f t="shared" ref="F313:M313" si="60">F305+F306+F307+F308+F309+F310+F311+F312</f>
        <v>-6196</v>
      </c>
      <c r="G313" s="65">
        <f t="shared" si="60"/>
        <v>-8624</v>
      </c>
      <c r="H313" s="65">
        <f t="shared" si="60"/>
        <v>-4367</v>
      </c>
      <c r="I313" s="65">
        <f t="shared" si="60"/>
        <v>-4766.6848499999996</v>
      </c>
      <c r="J313" s="65">
        <f t="shared" si="60"/>
        <v>-4746.8986109999996</v>
      </c>
      <c r="K313" s="65">
        <f t="shared" si="60"/>
        <v>-4770.6331040549985</v>
      </c>
      <c r="L313" s="65">
        <f t="shared" si="60"/>
        <v>-4819.2568645386373</v>
      </c>
      <c r="M313" s="65">
        <f t="shared" si="60"/>
        <v>-4954.1960567457181</v>
      </c>
    </row>
    <row r="314" spans="1:13" outlineLevel="1">
      <c r="A314" s="182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</row>
    <row r="315" spans="1:13" outlineLevel="1">
      <c r="A315" s="182"/>
      <c r="B315" s="66" t="s">
        <v>202</v>
      </c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</row>
    <row r="316" spans="1:13" outlineLevel="1">
      <c r="A316" s="182"/>
      <c r="B316" s="16" t="s">
        <v>203</v>
      </c>
      <c r="C316" s="15"/>
      <c r="D316" s="15"/>
      <c r="E316" s="15"/>
      <c r="F316" s="192">
        <v>-7829</v>
      </c>
      <c r="G316" s="192">
        <v>-7816</v>
      </c>
      <c r="H316" s="192">
        <v>-7849</v>
      </c>
      <c r="I316" s="21">
        <f>I232</f>
        <v>-8000.5355018257515</v>
      </c>
      <c r="J316" s="21">
        <f>J232</f>
        <v>-8124.8249906480596</v>
      </c>
      <c r="K316" s="21">
        <f>K232</f>
        <v>-8254.554235259664</v>
      </c>
      <c r="L316" s="21">
        <f>L232</f>
        <v>-8383.0564121875686</v>
      </c>
      <c r="M316" s="21">
        <f>M232</f>
        <v>-8511.9646619492723</v>
      </c>
    </row>
    <row r="317" spans="1:13" outlineLevel="1">
      <c r="A317" s="182"/>
      <c r="B317" s="16" t="s">
        <v>204</v>
      </c>
      <c r="C317" s="15"/>
      <c r="D317" s="15"/>
      <c r="E317" s="15"/>
      <c r="F317" s="192">
        <v>-323</v>
      </c>
      <c r="G317" s="192">
        <v>-174</v>
      </c>
      <c r="H317" s="192">
        <v>-172</v>
      </c>
      <c r="I317" s="21">
        <f>I240</f>
        <v>-177.86873058750004</v>
      </c>
      <c r="J317" s="21">
        <f>J240</f>
        <v>-185.56607415147226</v>
      </c>
      <c r="K317" s="21">
        <f>K240</f>
        <v>-184.79793667188289</v>
      </c>
      <c r="L317" s="21">
        <f>L240</f>
        <v>-195.88411094933102</v>
      </c>
      <c r="M317" s="21">
        <f>M240</f>
        <v>-207.20459254988495</v>
      </c>
    </row>
    <row r="318" spans="1:13" outlineLevel="1">
      <c r="A318" s="182"/>
      <c r="B318" s="16" t="s">
        <v>205</v>
      </c>
      <c r="C318" s="15"/>
      <c r="D318" s="15"/>
      <c r="E318" s="15"/>
      <c r="F318" s="192">
        <v>-52</v>
      </c>
      <c r="G318" s="192">
        <v>-27</v>
      </c>
      <c r="H318" s="192">
        <v>-1190</v>
      </c>
      <c r="I318" s="223">
        <v>0</v>
      </c>
      <c r="J318" s="223">
        <v>0</v>
      </c>
      <c r="K318" s="223">
        <v>0</v>
      </c>
      <c r="L318" s="223">
        <v>0</v>
      </c>
      <c r="M318" s="223">
        <v>0</v>
      </c>
    </row>
    <row r="319" spans="1:13" outlineLevel="1">
      <c r="A319" s="182"/>
      <c r="B319" s="16" t="s">
        <v>206</v>
      </c>
      <c r="C319" s="15"/>
      <c r="D319" s="15"/>
      <c r="E319" s="15"/>
      <c r="F319" s="192">
        <v>-5234</v>
      </c>
      <c r="G319" s="192">
        <v>-4678</v>
      </c>
      <c r="H319" s="192">
        <v>-213</v>
      </c>
      <c r="I319" s="21">
        <f>-I32</f>
        <v>0</v>
      </c>
      <c r="J319" s="21">
        <f>-J32</f>
        <v>0</v>
      </c>
      <c r="K319" s="21">
        <f>-K32</f>
        <v>0</v>
      </c>
      <c r="L319" s="21">
        <f>-L32</f>
        <v>0</v>
      </c>
      <c r="M319" s="21">
        <f>-M32</f>
        <v>-2000</v>
      </c>
    </row>
    <row r="320" spans="1:13" outlineLevel="1">
      <c r="A320" s="182"/>
      <c r="B320" s="16" t="s">
        <v>207</v>
      </c>
      <c r="C320" s="15"/>
      <c r="D320" s="15"/>
      <c r="E320" s="15"/>
      <c r="F320" s="192">
        <v>9806</v>
      </c>
      <c r="G320" s="192">
        <v>7992</v>
      </c>
      <c r="H320" s="192">
        <v>2803</v>
      </c>
      <c r="I320" s="223">
        <v>0</v>
      </c>
      <c r="J320" s="223">
        <v>0</v>
      </c>
      <c r="K320" s="223">
        <v>0</v>
      </c>
      <c r="L320" s="223">
        <v>0</v>
      </c>
      <c r="M320" s="223">
        <v>0</v>
      </c>
    </row>
    <row r="321" spans="1:13" outlineLevel="1">
      <c r="A321" s="182"/>
      <c r="B321" s="16" t="s">
        <v>208</v>
      </c>
      <c r="C321" s="15"/>
      <c r="D321" s="15"/>
      <c r="E321" s="15"/>
      <c r="F321" s="192">
        <v>-3589</v>
      </c>
      <c r="G321" s="192">
        <v>-5055</v>
      </c>
      <c r="H321" s="192">
        <v>-4408</v>
      </c>
      <c r="I321" s="223">
        <v>0</v>
      </c>
      <c r="J321" s="223">
        <v>0</v>
      </c>
      <c r="K321" s="223">
        <v>0</v>
      </c>
      <c r="L321" s="223">
        <v>0</v>
      </c>
      <c r="M321" s="223">
        <v>0</v>
      </c>
    </row>
    <row r="322" spans="1:13" outlineLevel="1">
      <c r="A322" s="182"/>
      <c r="B322" s="16" t="s">
        <v>209</v>
      </c>
      <c r="C322" s="15"/>
      <c r="D322" s="15"/>
      <c r="E322" s="15"/>
      <c r="F322" s="192">
        <v>-2537</v>
      </c>
      <c r="G322" s="192">
        <v>2396</v>
      </c>
      <c r="H322" s="192">
        <v>-1036</v>
      </c>
      <c r="I322" s="21">
        <f>I182</f>
        <v>-1157.04</v>
      </c>
      <c r="J322" s="21">
        <f>J182</f>
        <v>-566.94960000000003</v>
      </c>
      <c r="K322" s="21">
        <f>K182</f>
        <v>0</v>
      </c>
      <c r="L322" s="21">
        <f>L182</f>
        <v>561.28010400000005</v>
      </c>
      <c r="M322" s="21">
        <f>M182</f>
        <v>566.89290503999996</v>
      </c>
    </row>
    <row r="323" spans="1:13" outlineLevel="1">
      <c r="A323" s="182"/>
      <c r="B323" s="16" t="s">
        <v>210</v>
      </c>
      <c r="C323" s="15"/>
      <c r="D323" s="15"/>
      <c r="E323" s="15"/>
      <c r="F323" s="192">
        <v>0</v>
      </c>
      <c r="G323" s="192">
        <v>0</v>
      </c>
      <c r="H323" s="192">
        <v>0</v>
      </c>
      <c r="I323" s="248">
        <f>I210</f>
        <v>0</v>
      </c>
      <c r="J323" s="248">
        <f>J210</f>
        <v>0</v>
      </c>
      <c r="K323" s="248">
        <f>K210</f>
        <v>0</v>
      </c>
      <c r="L323" s="248">
        <f>L210</f>
        <v>0</v>
      </c>
      <c r="M323" s="248">
        <f>M210</f>
        <v>0</v>
      </c>
    </row>
    <row r="324" spans="1:13" outlineLevel="1">
      <c r="A324" s="182"/>
      <c r="B324" s="61" t="s">
        <v>211</v>
      </c>
      <c r="C324" s="15"/>
      <c r="D324" s="15"/>
      <c r="E324" s="15"/>
      <c r="F324" s="65">
        <f t="shared" ref="F324:M324" si="61">SUM(F316:F323)</f>
        <v>-9758</v>
      </c>
      <c r="G324" s="65">
        <f t="shared" si="61"/>
        <v>-7362</v>
      </c>
      <c r="H324" s="65">
        <f t="shared" si="61"/>
        <v>-12065</v>
      </c>
      <c r="I324" s="65">
        <f t="shared" si="61"/>
        <v>-9335.4442324132506</v>
      </c>
      <c r="J324" s="65">
        <f t="shared" si="61"/>
        <v>-8877.3406647995325</v>
      </c>
      <c r="K324" s="65">
        <f t="shared" si="61"/>
        <v>-8439.3521719315468</v>
      </c>
      <c r="L324" s="65">
        <f t="shared" si="61"/>
        <v>-8017.6604191368997</v>
      </c>
      <c r="M324" s="65">
        <f t="shared" si="61"/>
        <v>-10152.276349459156</v>
      </c>
    </row>
    <row r="325" spans="1:13" outlineLevel="1">
      <c r="A325" s="182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</row>
    <row r="326" spans="1:13" outlineLevel="1">
      <c r="A326" s="182"/>
      <c r="B326" s="16" t="s">
        <v>152</v>
      </c>
      <c r="C326" s="15"/>
      <c r="D326" s="15"/>
      <c r="E326" s="15"/>
      <c r="F326" s="192">
        <v>-682</v>
      </c>
      <c r="G326" s="192">
        <v>53</v>
      </c>
      <c r="H326" s="192">
        <v>-435</v>
      </c>
      <c r="I326" s="223">
        <v>0</v>
      </c>
      <c r="J326" s="223">
        <v>0</v>
      </c>
      <c r="K326" s="223">
        <v>0</v>
      </c>
      <c r="L326" s="223">
        <v>0</v>
      </c>
      <c r="M326" s="223">
        <v>0</v>
      </c>
    </row>
    <row r="327" spans="1:13" outlineLevel="1">
      <c r="A327" s="182"/>
      <c r="B327" s="61" t="s">
        <v>212</v>
      </c>
      <c r="C327" s="15"/>
      <c r="D327" s="15"/>
      <c r="E327" s="15"/>
      <c r="F327" s="65">
        <f t="shared" ref="F327:M327" si="62">F302+F313+F324+F326</f>
        <v>-695</v>
      </c>
      <c r="G327" s="65">
        <f t="shared" si="62"/>
        <v>742</v>
      </c>
      <c r="H327" s="65">
        <f t="shared" si="62"/>
        <v>-963</v>
      </c>
      <c r="I327" s="65">
        <f t="shared" si="62"/>
        <v>-368.72758199926648</v>
      </c>
      <c r="J327" s="65">
        <f t="shared" si="62"/>
        <v>549.90478919533052</v>
      </c>
      <c r="K327" s="65">
        <f t="shared" si="62"/>
        <v>1045.5707622952832</v>
      </c>
      <c r="L327" s="65">
        <f t="shared" si="62"/>
        <v>1762.4066595134691</v>
      </c>
      <c r="M327" s="65">
        <f t="shared" si="62"/>
        <v>-163.78352495446961</v>
      </c>
    </row>
    <row r="328" spans="1:13" outlineLevel="1">
      <c r="A328" s="182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</row>
    <row r="329" spans="1:13" outlineLevel="1">
      <c r="A329" s="182"/>
      <c r="B329" s="16" t="s">
        <v>213</v>
      </c>
      <c r="C329" s="15"/>
      <c r="D329" s="15"/>
      <c r="E329" s="15"/>
      <c r="F329" s="192">
        <v>5511</v>
      </c>
      <c r="G329" s="192">
        <v>4816</v>
      </c>
      <c r="H329" s="192">
        <v>5558</v>
      </c>
      <c r="I329" s="21">
        <f>H332</f>
        <v>4579</v>
      </c>
      <c r="J329" s="21">
        <f>I332</f>
        <v>4210.2724180007335</v>
      </c>
      <c r="K329" s="21">
        <f>J332</f>
        <v>4760.177207196064</v>
      </c>
      <c r="L329" s="21">
        <f>K332</f>
        <v>5805.7479694913472</v>
      </c>
      <c r="M329" s="21">
        <f>L332</f>
        <v>7568.1546290048163</v>
      </c>
    </row>
    <row r="330" spans="1:13" outlineLevel="1">
      <c r="A330" s="182"/>
      <c r="B330" s="61" t="s">
        <v>214</v>
      </c>
      <c r="C330" s="15"/>
      <c r="D330" s="15"/>
      <c r="E330" s="15"/>
      <c r="F330" s="65">
        <f>F329+F327</f>
        <v>4816</v>
      </c>
      <c r="G330" s="65">
        <f t="shared" ref="G330:M330" si="63">G329+G327</f>
        <v>5558</v>
      </c>
      <c r="H330" s="65">
        <f t="shared" si="63"/>
        <v>4595</v>
      </c>
      <c r="I330" s="65">
        <f t="shared" si="63"/>
        <v>4210.2724180007335</v>
      </c>
      <c r="J330" s="65">
        <f t="shared" si="63"/>
        <v>4760.177207196064</v>
      </c>
      <c r="K330" s="65">
        <f t="shared" si="63"/>
        <v>5805.7479694913472</v>
      </c>
      <c r="L330" s="65">
        <f t="shared" si="63"/>
        <v>7568.1546290048163</v>
      </c>
      <c r="M330" s="65">
        <f t="shared" si="63"/>
        <v>7404.3711040503467</v>
      </c>
    </row>
    <row r="331" spans="1:13" outlineLevel="1">
      <c r="A331" s="182"/>
      <c r="B331" s="16" t="s">
        <v>215</v>
      </c>
      <c r="C331" s="15"/>
      <c r="D331" s="15"/>
      <c r="E331" s="15"/>
      <c r="F331" s="192">
        <v>0</v>
      </c>
      <c r="G331" s="192">
        <v>-2</v>
      </c>
      <c r="H331" s="192">
        <v>-16</v>
      </c>
      <c r="I331" s="223">
        <v>0</v>
      </c>
      <c r="J331" s="223">
        <v>0</v>
      </c>
      <c r="K331" s="223">
        <v>0</v>
      </c>
      <c r="L331" s="223">
        <v>0</v>
      </c>
      <c r="M331" s="223">
        <v>0</v>
      </c>
    </row>
    <row r="332" spans="1:13" outlineLevel="1">
      <c r="A332" s="182"/>
      <c r="B332" s="61" t="s">
        <v>216</v>
      </c>
      <c r="C332" s="15"/>
      <c r="D332" s="15"/>
      <c r="E332" s="15"/>
      <c r="F332" s="65">
        <f t="shared" ref="F332:M332" si="64">F330+F331</f>
        <v>4816</v>
      </c>
      <c r="G332" s="65">
        <f t="shared" si="64"/>
        <v>5556</v>
      </c>
      <c r="H332" s="65">
        <f t="shared" si="64"/>
        <v>4579</v>
      </c>
      <c r="I332" s="65">
        <f t="shared" si="64"/>
        <v>4210.2724180007335</v>
      </c>
      <c r="J332" s="65">
        <f t="shared" si="64"/>
        <v>4760.177207196064</v>
      </c>
      <c r="K332" s="65">
        <f t="shared" si="64"/>
        <v>5805.7479694913472</v>
      </c>
      <c r="L332" s="65">
        <f t="shared" si="64"/>
        <v>7568.1546290048163</v>
      </c>
      <c r="M332" s="65">
        <f t="shared" si="64"/>
        <v>7404.3711040503467</v>
      </c>
    </row>
    <row r="333" spans="1:13" outlineLevel="1">
      <c r="A333" s="182"/>
      <c r="B333" s="30"/>
      <c r="C333" s="19"/>
      <c r="D333" s="19"/>
      <c r="E333" s="19"/>
      <c r="F333" s="31"/>
      <c r="G333" s="31"/>
      <c r="H333" s="31"/>
      <c r="I333" s="24"/>
      <c r="J333" s="24"/>
      <c r="K333" s="24"/>
      <c r="L333" s="24"/>
      <c r="M333" s="24"/>
    </row>
    <row r="334" spans="1:13">
      <c r="A334" s="182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</row>
    <row r="335" spans="1:13">
      <c r="A335" s="182" t="s">
        <v>61</v>
      </c>
      <c r="B335" s="8" t="s">
        <v>217</v>
      </c>
      <c r="C335" s="9"/>
      <c r="D335" s="9"/>
      <c r="E335" s="9"/>
      <c r="F335" s="10"/>
      <c r="G335" s="10"/>
      <c r="H335" s="10"/>
      <c r="I335" s="11"/>
      <c r="J335" s="11"/>
      <c r="K335" s="11"/>
      <c r="L335" s="11"/>
      <c r="M335" s="11"/>
    </row>
    <row r="336" spans="1:13" outlineLevel="1">
      <c r="A336" s="182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</row>
    <row r="337" spans="1:13" ht="17.399999999999999" outlineLevel="1" thickBot="1">
      <c r="A337" s="183"/>
      <c r="B337" s="12" t="str">
        <f>Input!$B$131</f>
        <v>All figures in CHF millions unless stated</v>
      </c>
      <c r="C337" s="7"/>
      <c r="D337" s="7"/>
      <c r="E337" s="7"/>
      <c r="F337" s="13">
        <f>F$2</f>
        <v>2023</v>
      </c>
      <c r="G337" s="13">
        <f t="shared" ref="G337:M337" si="65">G$2</f>
        <v>2024</v>
      </c>
      <c r="H337" s="13">
        <f t="shared" si="65"/>
        <v>2025</v>
      </c>
      <c r="I337" s="14">
        <f t="shared" si="65"/>
        <v>2026</v>
      </c>
      <c r="J337" s="14">
        <f t="shared" si="65"/>
        <v>2027</v>
      </c>
      <c r="K337" s="14">
        <f t="shared" si="65"/>
        <v>2028</v>
      </c>
      <c r="L337" s="14">
        <f t="shared" si="65"/>
        <v>2029</v>
      </c>
      <c r="M337" s="14">
        <f t="shared" si="65"/>
        <v>2030</v>
      </c>
    </row>
    <row r="338" spans="1:13" ht="17.399999999999999" outlineLevel="1" thickTop="1">
      <c r="A338" s="183"/>
      <c r="B338" s="12" t="str">
        <f>CONCATENATE("Model Running: ",INDEX(Input!$B$12:$B$14,Input!$D$6)," Drivers")</f>
        <v>Model Running: Base Case Drivers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spans="1:13" outlineLevel="1">
      <c r="A339" s="182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</row>
    <row r="340" spans="1:13" outlineLevel="1">
      <c r="A340" s="182"/>
      <c r="B340" s="66" t="s">
        <v>218</v>
      </c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</row>
    <row r="341" spans="1:13" outlineLevel="1">
      <c r="A341" s="182"/>
      <c r="B341" s="16" t="s">
        <v>219</v>
      </c>
      <c r="C341" s="15"/>
      <c r="D341" s="15"/>
      <c r="E341" s="15"/>
      <c r="F341" s="21">
        <f t="shared" ref="F341:M341" si="66">F332</f>
        <v>4816</v>
      </c>
      <c r="G341" s="21">
        <f t="shared" si="66"/>
        <v>5556</v>
      </c>
      <c r="H341" s="21">
        <f t="shared" si="66"/>
        <v>4579</v>
      </c>
      <c r="I341" s="21">
        <f t="shared" si="66"/>
        <v>4210.2724180007335</v>
      </c>
      <c r="J341" s="21">
        <f t="shared" si="66"/>
        <v>4760.177207196064</v>
      </c>
      <c r="K341" s="21">
        <f t="shared" si="66"/>
        <v>5805.7479694913472</v>
      </c>
      <c r="L341" s="21">
        <f t="shared" si="66"/>
        <v>7568.1546290048163</v>
      </c>
      <c r="M341" s="21">
        <f t="shared" si="66"/>
        <v>7404.3711040503467</v>
      </c>
    </row>
    <row r="342" spans="1:13" outlineLevel="1">
      <c r="A342" s="182"/>
      <c r="B342" s="16" t="s">
        <v>220</v>
      </c>
      <c r="C342" s="15"/>
      <c r="D342" s="15"/>
      <c r="E342" s="15"/>
      <c r="F342" s="192">
        <v>1035</v>
      </c>
      <c r="G342" s="192">
        <v>2315</v>
      </c>
      <c r="H342" s="192">
        <v>1651</v>
      </c>
      <c r="I342" s="21">
        <f>H342</f>
        <v>1651</v>
      </c>
      <c r="J342" s="21">
        <f>I342</f>
        <v>1651</v>
      </c>
      <c r="K342" s="21">
        <f>J342</f>
        <v>1651</v>
      </c>
      <c r="L342" s="21">
        <f>K342</f>
        <v>1651</v>
      </c>
      <c r="M342" s="21">
        <f>L342</f>
        <v>1651</v>
      </c>
    </row>
    <row r="343" spans="1:13" outlineLevel="1">
      <c r="A343" s="182"/>
      <c r="B343" s="16" t="s">
        <v>221</v>
      </c>
      <c r="C343" s="15"/>
      <c r="D343" s="15"/>
      <c r="E343" s="15"/>
      <c r="F343" s="192">
        <v>11896</v>
      </c>
      <c r="G343" s="192">
        <v>13260</v>
      </c>
      <c r="H343" s="192">
        <v>12813</v>
      </c>
      <c r="I343" s="21">
        <f>I54</f>
        <v>12418.185488383562</v>
      </c>
      <c r="J343" s="21">
        <f>J54</f>
        <v>12378.848608259381</v>
      </c>
      <c r="K343" s="21">
        <f>K54</f>
        <v>12321.899442741445</v>
      </c>
      <c r="L343" s="21">
        <f>L54</f>
        <v>12407.283703928075</v>
      </c>
      <c r="M343" s="21">
        <f>M54</f>
        <v>12579.452465465198</v>
      </c>
    </row>
    <row r="344" spans="1:13" outlineLevel="1">
      <c r="A344" s="182"/>
      <c r="B344" s="16" t="s">
        <v>222</v>
      </c>
      <c r="C344" s="15"/>
      <c r="D344" s="15"/>
      <c r="E344" s="15"/>
      <c r="F344" s="192">
        <v>10995</v>
      </c>
      <c r="G344" s="192">
        <v>11251</v>
      </c>
      <c r="H344" s="192">
        <v>10561</v>
      </c>
      <c r="I344" s="21">
        <f>I53</f>
        <v>10595.370821917808</v>
      </c>
      <c r="J344" s="21">
        <f>J53</f>
        <v>10754.301384246575</v>
      </c>
      <c r="K344" s="21">
        <f>K53</f>
        <v>10682.397624991436</v>
      </c>
      <c r="L344" s="21">
        <f>L53</f>
        <v>10767.856805991369</v>
      </c>
      <c r="M344" s="21">
        <f>M53</f>
        <v>11069.356796559126</v>
      </c>
    </row>
    <row r="345" spans="1:13" outlineLevel="1">
      <c r="A345" s="182"/>
      <c r="B345" s="16" t="s">
        <v>21</v>
      </c>
      <c r="C345" s="15"/>
      <c r="D345" s="15"/>
      <c r="E345" s="15"/>
      <c r="F345" s="192">
        <v>521</v>
      </c>
      <c r="G345" s="192">
        <v>543</v>
      </c>
      <c r="H345" s="192">
        <v>479</v>
      </c>
      <c r="I345" s="21">
        <f>I56</f>
        <v>492.80794520547943</v>
      </c>
      <c r="J345" s="21">
        <f>J56</f>
        <v>500.2000643835616</v>
      </c>
      <c r="K345" s="21">
        <f>K56</f>
        <v>502.70106470547938</v>
      </c>
      <c r="L345" s="21">
        <f>L56</f>
        <v>512.75508599958891</v>
      </c>
      <c r="M345" s="21">
        <f>M56</f>
        <v>527.1122284075775</v>
      </c>
    </row>
    <row r="346" spans="1:13" outlineLevel="1">
      <c r="A346" s="182"/>
      <c r="B346" s="16" t="s">
        <v>223</v>
      </c>
      <c r="C346" s="15"/>
      <c r="D346" s="15"/>
      <c r="E346" s="15"/>
      <c r="F346" s="192">
        <v>278</v>
      </c>
      <c r="G346" s="192">
        <v>792</v>
      </c>
      <c r="H346" s="192">
        <v>295</v>
      </c>
      <c r="I346" s="21">
        <f t="shared" ref="I346:M348" si="67">H346</f>
        <v>295</v>
      </c>
      <c r="J346" s="21">
        <f t="shared" si="67"/>
        <v>295</v>
      </c>
      <c r="K346" s="21">
        <f t="shared" si="67"/>
        <v>295</v>
      </c>
      <c r="L346" s="21">
        <f t="shared" si="67"/>
        <v>295</v>
      </c>
      <c r="M346" s="21">
        <f t="shared" si="67"/>
        <v>295</v>
      </c>
    </row>
    <row r="347" spans="1:13" outlineLevel="1">
      <c r="A347" s="182"/>
      <c r="B347" s="16" t="s">
        <v>224</v>
      </c>
      <c r="C347" s="15"/>
      <c r="D347" s="15"/>
      <c r="E347" s="15"/>
      <c r="F347" s="192">
        <v>1284</v>
      </c>
      <c r="G347" s="192">
        <v>1334</v>
      </c>
      <c r="H347" s="192">
        <v>1383</v>
      </c>
      <c r="I347" s="21">
        <f t="shared" si="67"/>
        <v>1383</v>
      </c>
      <c r="J347" s="21">
        <f t="shared" si="67"/>
        <v>1383</v>
      </c>
      <c r="K347" s="21">
        <f t="shared" si="67"/>
        <v>1383</v>
      </c>
      <c r="L347" s="21">
        <f t="shared" si="67"/>
        <v>1383</v>
      </c>
      <c r="M347" s="21">
        <f t="shared" si="67"/>
        <v>1383</v>
      </c>
    </row>
    <row r="348" spans="1:13" outlineLevel="1">
      <c r="A348" s="182"/>
      <c r="B348" s="16" t="s">
        <v>225</v>
      </c>
      <c r="C348" s="15"/>
      <c r="D348" s="15"/>
      <c r="E348" s="15"/>
      <c r="F348" s="192">
        <v>32</v>
      </c>
      <c r="G348" s="192">
        <v>137</v>
      </c>
      <c r="H348" s="192">
        <v>208</v>
      </c>
      <c r="I348" s="21">
        <f t="shared" si="67"/>
        <v>208</v>
      </c>
      <c r="J348" s="21">
        <f t="shared" si="67"/>
        <v>208</v>
      </c>
      <c r="K348" s="21">
        <f t="shared" si="67"/>
        <v>208</v>
      </c>
      <c r="L348" s="21">
        <f t="shared" si="67"/>
        <v>208</v>
      </c>
      <c r="M348" s="21">
        <f t="shared" si="67"/>
        <v>208</v>
      </c>
    </row>
    <row r="349" spans="1:13" outlineLevel="1">
      <c r="A349" s="182"/>
      <c r="B349" s="61" t="s">
        <v>226</v>
      </c>
      <c r="C349" s="15"/>
      <c r="D349" s="15"/>
      <c r="E349" s="15"/>
      <c r="F349" s="65">
        <f t="shared" ref="F349:M349" si="68">F341+F342+F343+F344+F345+F346+F347+F348</f>
        <v>30857</v>
      </c>
      <c r="G349" s="65">
        <f t="shared" si="68"/>
        <v>35188</v>
      </c>
      <c r="H349" s="65">
        <f t="shared" si="68"/>
        <v>31969</v>
      </c>
      <c r="I349" s="65">
        <f t="shared" si="68"/>
        <v>31253.636673507586</v>
      </c>
      <c r="J349" s="65">
        <f t="shared" si="68"/>
        <v>31930.52726408558</v>
      </c>
      <c r="K349" s="65">
        <f t="shared" si="68"/>
        <v>32849.746101929704</v>
      </c>
      <c r="L349" s="65">
        <f t="shared" si="68"/>
        <v>34793.050224923849</v>
      </c>
      <c r="M349" s="65">
        <f t="shared" si="68"/>
        <v>35117.292594482249</v>
      </c>
    </row>
    <row r="350" spans="1:13" outlineLevel="1">
      <c r="A350" s="182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</row>
    <row r="351" spans="1:13" outlineLevel="1">
      <c r="A351" s="182"/>
      <c r="B351" s="66" t="s">
        <v>227</v>
      </c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</row>
    <row r="352" spans="1:13" outlineLevel="1">
      <c r="A352" s="182"/>
      <c r="B352" s="16" t="s">
        <v>102</v>
      </c>
      <c r="C352" s="15"/>
      <c r="D352" s="15"/>
      <c r="E352" s="15"/>
      <c r="F352" s="192">
        <v>30467</v>
      </c>
      <c r="G352" s="192">
        <v>33706</v>
      </c>
      <c r="H352" s="192">
        <v>32549</v>
      </c>
      <c r="I352" s="21">
        <f>I97</f>
        <v>34027.226049999997</v>
      </c>
      <c r="J352" s="21">
        <f>J97</f>
        <v>35444.6231685475</v>
      </c>
      <c r="K352" s="21">
        <f>K97</f>
        <v>36854.096153612474</v>
      </c>
      <c r="L352" s="21">
        <f>L97</f>
        <v>38231.019807136974</v>
      </c>
      <c r="M352" s="21">
        <f>M97</f>
        <v>39659.057788705199</v>
      </c>
    </row>
    <row r="353" spans="1:13" outlineLevel="1">
      <c r="A353" s="182"/>
      <c r="B353" s="16" t="s">
        <v>228</v>
      </c>
      <c r="C353" s="15"/>
      <c r="D353" s="15"/>
      <c r="E353" s="15"/>
      <c r="F353" s="192">
        <v>28693</v>
      </c>
      <c r="G353" s="192">
        <v>30595</v>
      </c>
      <c r="H353" s="192">
        <v>27636</v>
      </c>
      <c r="I353" s="248">
        <f>H353-I289</f>
        <v>26691.656774999999</v>
      </c>
      <c r="J353" s="248">
        <f>I353-J289</f>
        <v>25908.874936743749</v>
      </c>
      <c r="K353" s="248">
        <f>J353-K289</f>
        <v>25260.252320480886</v>
      </c>
      <c r="L353" s="248">
        <f>K353-L289</f>
        <v>24719.840507030192</v>
      </c>
      <c r="M353" s="248">
        <f>L353-M289</f>
        <v>24238.369608699857</v>
      </c>
    </row>
    <row r="354" spans="1:13" outlineLevel="1">
      <c r="A354" s="182"/>
      <c r="B354" s="16" t="s">
        <v>103</v>
      </c>
      <c r="C354" s="15"/>
      <c r="D354" s="15"/>
      <c r="E354" s="15"/>
      <c r="F354" s="192">
        <v>18225</v>
      </c>
      <c r="G354" s="192">
        <v>19245</v>
      </c>
      <c r="H354" s="192">
        <v>16673</v>
      </c>
      <c r="I354" s="248">
        <f>I104</f>
        <v>16515.918799999999</v>
      </c>
      <c r="J354" s="248">
        <f>J104</f>
        <v>16357.943297802498</v>
      </c>
      <c r="K354" s="248">
        <f>K104</f>
        <v>16196.528897080727</v>
      </c>
      <c r="L354" s="248">
        <f>L104</f>
        <v>16084.470229698421</v>
      </c>
      <c r="M354" s="248">
        <f>M104</f>
        <v>15971.49047240795</v>
      </c>
    </row>
    <row r="355" spans="1:13" outlineLevel="1">
      <c r="A355" s="182"/>
      <c r="B355" s="16" t="s">
        <v>129</v>
      </c>
      <c r="C355" s="15"/>
      <c r="D355" s="15"/>
      <c r="E355" s="15"/>
      <c r="F355" s="192">
        <v>13088</v>
      </c>
      <c r="G355" s="192">
        <v>14326</v>
      </c>
      <c r="H355" s="192">
        <v>12096</v>
      </c>
      <c r="I355" s="21">
        <f>I162</f>
        <v>12487.050000000001</v>
      </c>
      <c r="J355" s="21">
        <f>J162</f>
        <v>12962.208600000002</v>
      </c>
      <c r="K355" s="21">
        <f>K162</f>
        <v>13457.832948000001</v>
      </c>
      <c r="L355" s="21">
        <f>L162</f>
        <v>13987.387678320001</v>
      </c>
      <c r="M355" s="21">
        <f>M162</f>
        <v>14552.020360180801</v>
      </c>
    </row>
    <row r="356" spans="1:13" outlineLevel="1">
      <c r="A356" s="182"/>
      <c r="B356" s="16" t="s">
        <v>229</v>
      </c>
      <c r="C356" s="15"/>
      <c r="D356" s="15"/>
      <c r="E356" s="15"/>
      <c r="F356" s="192">
        <v>2947</v>
      </c>
      <c r="G356" s="192">
        <v>3650</v>
      </c>
      <c r="H356" s="192">
        <v>3641</v>
      </c>
      <c r="I356" s="21">
        <f t="shared" ref="I356:M359" si="69">H356</f>
        <v>3641</v>
      </c>
      <c r="J356" s="21">
        <f t="shared" si="69"/>
        <v>3641</v>
      </c>
      <c r="K356" s="21">
        <f t="shared" si="69"/>
        <v>3641</v>
      </c>
      <c r="L356" s="21">
        <f t="shared" si="69"/>
        <v>3641</v>
      </c>
      <c r="M356" s="21">
        <f t="shared" si="69"/>
        <v>3641</v>
      </c>
    </row>
    <row r="357" spans="1:13" outlineLevel="1">
      <c r="A357" s="182"/>
      <c r="B357" s="16" t="s">
        <v>230</v>
      </c>
      <c r="C357" s="15"/>
      <c r="D357" s="15"/>
      <c r="E357" s="15"/>
      <c r="F357" s="192">
        <v>130</v>
      </c>
      <c r="G357" s="192">
        <v>84</v>
      </c>
      <c r="H357" s="192">
        <v>229</v>
      </c>
      <c r="I357" s="21">
        <f t="shared" si="69"/>
        <v>229</v>
      </c>
      <c r="J357" s="21">
        <f t="shared" si="69"/>
        <v>229</v>
      </c>
      <c r="K357" s="21">
        <f t="shared" si="69"/>
        <v>229</v>
      </c>
      <c r="L357" s="21">
        <f t="shared" si="69"/>
        <v>229</v>
      </c>
      <c r="M357" s="21">
        <f t="shared" si="69"/>
        <v>229</v>
      </c>
    </row>
    <row r="358" spans="1:13" outlineLevel="1">
      <c r="A358" s="182"/>
      <c r="B358" s="16" t="s">
        <v>231</v>
      </c>
      <c r="C358" s="15"/>
      <c r="D358" s="15"/>
      <c r="E358" s="15"/>
      <c r="F358" s="192">
        <v>962</v>
      </c>
      <c r="G358" s="192">
        <v>1475</v>
      </c>
      <c r="H358" s="192">
        <v>1412</v>
      </c>
      <c r="I358" s="21">
        <f t="shared" si="69"/>
        <v>1412</v>
      </c>
      <c r="J358" s="21">
        <f t="shared" si="69"/>
        <v>1412</v>
      </c>
      <c r="K358" s="21">
        <f t="shared" si="69"/>
        <v>1412</v>
      </c>
      <c r="L358" s="21">
        <f t="shared" si="69"/>
        <v>1412</v>
      </c>
      <c r="M358" s="21">
        <f t="shared" si="69"/>
        <v>1412</v>
      </c>
    </row>
    <row r="359" spans="1:13" outlineLevel="1">
      <c r="A359" s="182"/>
      <c r="B359" s="16" t="s">
        <v>232</v>
      </c>
      <c r="C359" s="15"/>
      <c r="D359" s="15"/>
      <c r="E359" s="15"/>
      <c r="F359" s="192">
        <v>1181</v>
      </c>
      <c r="G359" s="192">
        <v>995</v>
      </c>
      <c r="H359" s="192">
        <v>946</v>
      </c>
      <c r="I359" s="21">
        <f t="shared" si="69"/>
        <v>946</v>
      </c>
      <c r="J359" s="21">
        <f t="shared" si="69"/>
        <v>946</v>
      </c>
      <c r="K359" s="21">
        <f t="shared" si="69"/>
        <v>946</v>
      </c>
      <c r="L359" s="21">
        <f t="shared" si="69"/>
        <v>946</v>
      </c>
      <c r="M359" s="21">
        <f t="shared" si="69"/>
        <v>946</v>
      </c>
    </row>
    <row r="360" spans="1:13" outlineLevel="1">
      <c r="A360" s="182"/>
      <c r="B360" s="61" t="s">
        <v>233</v>
      </c>
      <c r="C360" s="15"/>
      <c r="D360" s="15"/>
      <c r="E360" s="15"/>
      <c r="F360" s="65">
        <f t="shared" ref="F360:M360" si="70">F352+F353+F354+F355+F356+F357+F358+F359</f>
        <v>95693</v>
      </c>
      <c r="G360" s="65">
        <f t="shared" si="70"/>
        <v>104076</v>
      </c>
      <c r="H360" s="65">
        <f t="shared" si="70"/>
        <v>95182</v>
      </c>
      <c r="I360" s="65">
        <f t="shared" si="70"/>
        <v>95949.851624999996</v>
      </c>
      <c r="J360" s="65">
        <f t="shared" si="70"/>
        <v>96901.650003093746</v>
      </c>
      <c r="K360" s="65">
        <f t="shared" si="70"/>
        <v>97996.71031917409</v>
      </c>
      <c r="L360" s="65">
        <f t="shared" si="70"/>
        <v>99250.718222185576</v>
      </c>
      <c r="M360" s="65">
        <f t="shared" si="70"/>
        <v>100648.93822999382</v>
      </c>
    </row>
    <row r="361" spans="1:13" outlineLevel="1">
      <c r="A361" s="182"/>
      <c r="B361" s="61" t="s">
        <v>234</v>
      </c>
      <c r="C361" s="15"/>
      <c r="D361" s="15"/>
      <c r="E361" s="15"/>
      <c r="F361" s="65">
        <f t="shared" ref="F361:M361" si="71">F349+F360</f>
        <v>126550</v>
      </c>
      <c r="G361" s="65">
        <f t="shared" si="71"/>
        <v>139264</v>
      </c>
      <c r="H361" s="65">
        <f t="shared" si="71"/>
        <v>127151</v>
      </c>
      <c r="I361" s="65">
        <f t="shared" si="71"/>
        <v>127203.48829850758</v>
      </c>
      <c r="J361" s="65">
        <f t="shared" si="71"/>
        <v>128832.17726717933</v>
      </c>
      <c r="K361" s="65">
        <f t="shared" si="71"/>
        <v>130846.45642110379</v>
      </c>
      <c r="L361" s="65">
        <f t="shared" si="71"/>
        <v>134043.76844710944</v>
      </c>
      <c r="M361" s="65">
        <f t="shared" si="71"/>
        <v>135766.23082447605</v>
      </c>
    </row>
    <row r="362" spans="1:13" outlineLevel="1">
      <c r="A362" s="182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</row>
    <row r="363" spans="1:13" outlineLevel="1">
      <c r="A363" s="182"/>
      <c r="B363" s="66" t="s">
        <v>235</v>
      </c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</row>
    <row r="364" spans="1:13" outlineLevel="1">
      <c r="A364" s="182"/>
      <c r="B364" s="16" t="s">
        <v>236</v>
      </c>
      <c r="C364" s="15"/>
      <c r="D364" s="15"/>
      <c r="E364" s="15"/>
      <c r="F364" s="192">
        <v>9416</v>
      </c>
      <c r="G364" s="192">
        <v>11863</v>
      </c>
      <c r="H364" s="192">
        <v>11606</v>
      </c>
      <c r="I364" s="21">
        <f>I186</f>
        <v>11338.992</v>
      </c>
      <c r="J364" s="21">
        <f>J186</f>
        <v>11225.602080000001</v>
      </c>
      <c r="K364" s="21">
        <f>K186</f>
        <v>11225.602080000001</v>
      </c>
      <c r="L364" s="21">
        <f>L186</f>
        <v>11337.8581008</v>
      </c>
      <c r="M364" s="21">
        <f>M186</f>
        <v>11451.236681807999</v>
      </c>
    </row>
    <row r="365" spans="1:13" outlineLevel="1">
      <c r="A365" s="182"/>
      <c r="B365" s="16" t="s">
        <v>237</v>
      </c>
      <c r="C365" s="15"/>
      <c r="D365" s="15"/>
      <c r="E365" s="15"/>
      <c r="F365" s="192">
        <v>317</v>
      </c>
      <c r="G365" s="192">
        <v>408</v>
      </c>
      <c r="H365" s="192">
        <v>202</v>
      </c>
      <c r="I365" s="21">
        <f>H365</f>
        <v>202</v>
      </c>
      <c r="J365" s="21">
        <f>I365</f>
        <v>202</v>
      </c>
      <c r="K365" s="21">
        <f>J365</f>
        <v>202</v>
      </c>
      <c r="L365" s="21">
        <f>K365</f>
        <v>202</v>
      </c>
      <c r="M365" s="21">
        <f>L365</f>
        <v>202</v>
      </c>
    </row>
    <row r="366" spans="1:13" outlineLevel="1">
      <c r="A366" s="182"/>
      <c r="B366" s="16" t="s">
        <v>238</v>
      </c>
      <c r="C366" s="15"/>
      <c r="D366" s="15"/>
      <c r="E366" s="15"/>
      <c r="F366" s="192">
        <v>19204</v>
      </c>
      <c r="G366" s="192">
        <v>21807</v>
      </c>
      <c r="H366" s="192">
        <v>20023</v>
      </c>
      <c r="I366" s="21">
        <f>I55</f>
        <v>20029.331432876712</v>
      </c>
      <c r="J366" s="21">
        <f>J55</f>
        <v>20404.695508119858</v>
      </c>
      <c r="K366" s="21">
        <f>K55</f>
        <v>20767.246251811426</v>
      </c>
      <c r="L366" s="21">
        <f>L55</f>
        <v>21148.779040786492</v>
      </c>
      <c r="M366" s="21">
        <f>M55</f>
        <v>21688.711147353792</v>
      </c>
    </row>
    <row r="367" spans="1:13" outlineLevel="1">
      <c r="A367" s="182"/>
      <c r="B367" s="16" t="s">
        <v>22</v>
      </c>
      <c r="C367" s="15"/>
      <c r="D367" s="15"/>
      <c r="E367" s="15"/>
      <c r="F367" s="192">
        <v>5112</v>
      </c>
      <c r="G367" s="192">
        <v>5466</v>
      </c>
      <c r="H367" s="192">
        <v>5575</v>
      </c>
      <c r="I367" s="21">
        <f>I57</f>
        <v>5341.1550487671229</v>
      </c>
      <c r="J367" s="21">
        <f>J57</f>
        <v>5441.2521354986284</v>
      </c>
      <c r="K367" s="21">
        <f>K57</f>
        <v>5537.9323338163804</v>
      </c>
      <c r="L367" s="21">
        <f>L57</f>
        <v>5780.6662711483077</v>
      </c>
      <c r="M367" s="21">
        <f>M57</f>
        <v>5928.247713610036</v>
      </c>
    </row>
    <row r="368" spans="1:13" outlineLevel="1">
      <c r="A368" s="182"/>
      <c r="B368" s="16" t="s">
        <v>239</v>
      </c>
      <c r="C368" s="15"/>
      <c r="D368" s="15"/>
      <c r="E368" s="15"/>
      <c r="F368" s="192">
        <v>675</v>
      </c>
      <c r="G368" s="192">
        <v>865</v>
      </c>
      <c r="H368" s="192">
        <v>850</v>
      </c>
      <c r="I368" s="21">
        <f t="shared" ref="I368:M370" si="72">H368</f>
        <v>850</v>
      </c>
      <c r="J368" s="21">
        <f t="shared" si="72"/>
        <v>850</v>
      </c>
      <c r="K368" s="21">
        <f t="shared" si="72"/>
        <v>850</v>
      </c>
      <c r="L368" s="21">
        <f t="shared" si="72"/>
        <v>850</v>
      </c>
      <c r="M368" s="21">
        <f t="shared" si="72"/>
        <v>850</v>
      </c>
    </row>
    <row r="369" spans="1:13" outlineLevel="1">
      <c r="A369" s="182"/>
      <c r="B369" s="16" t="s">
        <v>240</v>
      </c>
      <c r="C369" s="15"/>
      <c r="D369" s="15"/>
      <c r="E369" s="15"/>
      <c r="F369" s="192">
        <v>2360</v>
      </c>
      <c r="G369" s="192">
        <v>2435</v>
      </c>
      <c r="H369" s="192">
        <v>2338</v>
      </c>
      <c r="I369" s="21">
        <f t="shared" si="72"/>
        <v>2338</v>
      </c>
      <c r="J369" s="21">
        <f t="shared" si="72"/>
        <v>2338</v>
      </c>
      <c r="K369" s="21">
        <f t="shared" si="72"/>
        <v>2338</v>
      </c>
      <c r="L369" s="21">
        <f t="shared" si="72"/>
        <v>2338</v>
      </c>
      <c r="M369" s="21">
        <f t="shared" si="72"/>
        <v>2338</v>
      </c>
    </row>
    <row r="370" spans="1:13" outlineLevel="1">
      <c r="A370" s="182"/>
      <c r="B370" s="16" t="s">
        <v>241</v>
      </c>
      <c r="C370" s="15"/>
      <c r="D370" s="15"/>
      <c r="E370" s="15"/>
      <c r="F370" s="192">
        <v>0</v>
      </c>
      <c r="G370" s="192">
        <v>19</v>
      </c>
      <c r="H370" s="192">
        <v>100</v>
      </c>
      <c r="I370" s="21">
        <f t="shared" si="72"/>
        <v>100</v>
      </c>
      <c r="J370" s="21">
        <f t="shared" si="72"/>
        <v>100</v>
      </c>
      <c r="K370" s="21">
        <f t="shared" si="72"/>
        <v>100</v>
      </c>
      <c r="L370" s="21">
        <f t="shared" si="72"/>
        <v>100</v>
      </c>
      <c r="M370" s="21">
        <f t="shared" si="72"/>
        <v>100</v>
      </c>
    </row>
    <row r="371" spans="1:13" outlineLevel="1">
      <c r="A371" s="182"/>
      <c r="B371" s="16" t="s">
        <v>60</v>
      </c>
      <c r="C371" s="15"/>
      <c r="D371" s="15"/>
      <c r="E371" s="15"/>
      <c r="F371" s="192">
        <v>0</v>
      </c>
      <c r="G371" s="192">
        <v>0</v>
      </c>
      <c r="H371" s="192">
        <v>0</v>
      </c>
      <c r="I371" s="21">
        <f>I211</f>
        <v>0</v>
      </c>
      <c r="J371" s="21">
        <f>J211</f>
        <v>0</v>
      </c>
      <c r="K371" s="21">
        <f>K211</f>
        <v>0</v>
      </c>
      <c r="L371" s="21">
        <f>L211</f>
        <v>0</v>
      </c>
      <c r="M371" s="21">
        <f>M211</f>
        <v>0</v>
      </c>
    </row>
    <row r="372" spans="1:13" outlineLevel="1">
      <c r="A372" s="182"/>
      <c r="B372" s="61" t="s">
        <v>242</v>
      </c>
      <c r="C372" s="15"/>
      <c r="D372" s="15"/>
      <c r="E372" s="15"/>
      <c r="F372" s="65">
        <f t="shared" ref="F372:M372" si="73">SUM(F364:F371)</f>
        <v>37084</v>
      </c>
      <c r="G372" s="65">
        <f t="shared" si="73"/>
        <v>42863</v>
      </c>
      <c r="H372" s="65">
        <f t="shared" si="73"/>
        <v>40694</v>
      </c>
      <c r="I372" s="65">
        <f t="shared" si="73"/>
        <v>40199.478481643833</v>
      </c>
      <c r="J372" s="65">
        <f t="shared" si="73"/>
        <v>40561.549723618489</v>
      </c>
      <c r="K372" s="65">
        <f t="shared" si="73"/>
        <v>41020.780665627804</v>
      </c>
      <c r="L372" s="65">
        <f t="shared" si="73"/>
        <v>41757.3034127348</v>
      </c>
      <c r="M372" s="65">
        <f t="shared" si="73"/>
        <v>42558.195542771828</v>
      </c>
    </row>
    <row r="373" spans="1:13" outlineLevel="1">
      <c r="A373" s="182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</row>
    <row r="374" spans="1:13" outlineLevel="1">
      <c r="A374" s="182"/>
      <c r="B374" s="66" t="s">
        <v>243</v>
      </c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</row>
    <row r="375" spans="1:13" outlineLevel="1">
      <c r="A375" s="182"/>
      <c r="B375" s="16" t="s">
        <v>236</v>
      </c>
      <c r="C375" s="15"/>
      <c r="D375" s="15"/>
      <c r="E375" s="15"/>
      <c r="F375" s="192">
        <v>45825</v>
      </c>
      <c r="G375" s="192">
        <v>51697</v>
      </c>
      <c r="H375" s="192">
        <v>46246</v>
      </c>
      <c r="I375" s="21">
        <f>I187</f>
        <v>45355.968000000001</v>
      </c>
      <c r="J375" s="21">
        <f>J187</f>
        <v>44902.408320000002</v>
      </c>
      <c r="K375" s="21">
        <f>K187</f>
        <v>44902.408320000002</v>
      </c>
      <c r="L375" s="21">
        <f>L187</f>
        <v>45351.4324032</v>
      </c>
      <c r="M375" s="21">
        <f>M187</f>
        <v>45804.946727231996</v>
      </c>
    </row>
    <row r="376" spans="1:13" outlineLevel="1">
      <c r="A376" s="182"/>
      <c r="B376" s="16" t="s">
        <v>237</v>
      </c>
      <c r="C376" s="15"/>
      <c r="D376" s="15"/>
      <c r="E376" s="15"/>
      <c r="F376" s="192">
        <v>239</v>
      </c>
      <c r="G376" s="192">
        <v>307</v>
      </c>
      <c r="H376" s="192">
        <v>144</v>
      </c>
      <c r="I376" s="21">
        <f t="shared" ref="I376:M380" si="74">H376</f>
        <v>144</v>
      </c>
      <c r="J376" s="21">
        <f t="shared" si="74"/>
        <v>144</v>
      </c>
      <c r="K376" s="21">
        <f t="shared" si="74"/>
        <v>144</v>
      </c>
      <c r="L376" s="21">
        <f t="shared" si="74"/>
        <v>144</v>
      </c>
      <c r="M376" s="21">
        <f t="shared" si="74"/>
        <v>144</v>
      </c>
    </row>
    <row r="377" spans="1:13" outlineLevel="1">
      <c r="A377" s="182"/>
      <c r="B377" s="16" t="s">
        <v>244</v>
      </c>
      <c r="C377" s="15"/>
      <c r="D377" s="15"/>
      <c r="E377" s="15"/>
      <c r="F377" s="192">
        <v>2718</v>
      </c>
      <c r="G377" s="192">
        <v>2629</v>
      </c>
      <c r="H377" s="192">
        <v>2299</v>
      </c>
      <c r="I377" s="21">
        <f t="shared" si="74"/>
        <v>2299</v>
      </c>
      <c r="J377" s="21">
        <f t="shared" si="74"/>
        <v>2299</v>
      </c>
      <c r="K377" s="21">
        <f t="shared" si="74"/>
        <v>2299</v>
      </c>
      <c r="L377" s="21">
        <f t="shared" si="74"/>
        <v>2299</v>
      </c>
      <c r="M377" s="21">
        <f t="shared" si="74"/>
        <v>2299</v>
      </c>
    </row>
    <row r="378" spans="1:13" outlineLevel="1">
      <c r="A378" s="182"/>
      <c r="B378" s="16" t="s">
        <v>239</v>
      </c>
      <c r="C378" s="15"/>
      <c r="D378" s="15"/>
      <c r="E378" s="15"/>
      <c r="F378" s="192">
        <v>1303</v>
      </c>
      <c r="G378" s="192">
        <v>1086</v>
      </c>
      <c r="H378" s="192">
        <v>980</v>
      </c>
      <c r="I378" s="21">
        <f t="shared" si="74"/>
        <v>980</v>
      </c>
      <c r="J378" s="21">
        <f t="shared" si="74"/>
        <v>980</v>
      </c>
      <c r="K378" s="21">
        <f t="shared" si="74"/>
        <v>980</v>
      </c>
      <c r="L378" s="21">
        <f t="shared" si="74"/>
        <v>980</v>
      </c>
      <c r="M378" s="21">
        <f t="shared" si="74"/>
        <v>980</v>
      </c>
    </row>
    <row r="379" spans="1:13" outlineLevel="1">
      <c r="A379" s="182"/>
      <c r="B379" s="16" t="s">
        <v>245</v>
      </c>
      <c r="C379" s="15"/>
      <c r="D379" s="15"/>
      <c r="E379" s="15"/>
      <c r="F379" s="192">
        <v>2886</v>
      </c>
      <c r="G379" s="192">
        <v>3767</v>
      </c>
      <c r="H379" s="192">
        <v>3554</v>
      </c>
      <c r="I379" s="248">
        <f>H379+I300-I273</f>
        <v>3683.1137512769997</v>
      </c>
      <c r="J379" s="248">
        <f>I379+J300-J273</f>
        <v>3816.8249346951097</v>
      </c>
      <c r="K379" s="248">
        <f>J379+K300-K273</f>
        <v>3955.3353627080432</v>
      </c>
      <c r="L379" s="248">
        <f>K379+L300-L273</f>
        <v>4098.8884975792662</v>
      </c>
      <c r="M379" s="248">
        <f>L379+M300-M273</f>
        <v>4235.2020727154795</v>
      </c>
    </row>
    <row r="380" spans="1:13" outlineLevel="1">
      <c r="A380" s="182"/>
      <c r="B380" s="16" t="s">
        <v>246</v>
      </c>
      <c r="C380" s="15"/>
      <c r="D380" s="15"/>
      <c r="E380" s="15"/>
      <c r="F380" s="192">
        <v>108</v>
      </c>
      <c r="G380" s="192">
        <v>222</v>
      </c>
      <c r="H380" s="192">
        <v>176</v>
      </c>
      <c r="I380" s="21">
        <f t="shared" si="74"/>
        <v>176</v>
      </c>
      <c r="J380" s="21">
        <f t="shared" si="74"/>
        <v>176</v>
      </c>
      <c r="K380" s="21">
        <f t="shared" si="74"/>
        <v>176</v>
      </c>
      <c r="L380" s="21">
        <f t="shared" si="74"/>
        <v>176</v>
      </c>
      <c r="M380" s="21">
        <f t="shared" si="74"/>
        <v>176</v>
      </c>
    </row>
    <row r="381" spans="1:13" outlineLevel="1">
      <c r="A381" s="182"/>
      <c r="B381" s="61" t="s">
        <v>247</v>
      </c>
      <c r="C381" s="15"/>
      <c r="D381" s="15"/>
      <c r="E381" s="15"/>
      <c r="F381" s="65">
        <f t="shared" ref="F381:M381" si="75">F375+F376+F377+F378+F379+F380</f>
        <v>53079</v>
      </c>
      <c r="G381" s="65">
        <f t="shared" si="75"/>
        <v>59708</v>
      </c>
      <c r="H381" s="65">
        <f t="shared" si="75"/>
        <v>53399</v>
      </c>
      <c r="I381" s="65">
        <f t="shared" si="75"/>
        <v>52638.081751277001</v>
      </c>
      <c r="J381" s="65">
        <f t="shared" si="75"/>
        <v>52318.233254695115</v>
      </c>
      <c r="K381" s="65">
        <f t="shared" si="75"/>
        <v>52456.743682708046</v>
      </c>
      <c r="L381" s="65">
        <f t="shared" si="75"/>
        <v>53049.320900779268</v>
      </c>
      <c r="M381" s="65">
        <f t="shared" si="75"/>
        <v>53639.148799947478</v>
      </c>
    </row>
    <row r="382" spans="1:13" outlineLevel="1">
      <c r="A382" s="182"/>
      <c r="B382" s="61" t="s">
        <v>248</v>
      </c>
      <c r="C382" s="15"/>
      <c r="D382" s="15"/>
      <c r="E382" s="15"/>
      <c r="F382" s="65">
        <f t="shared" ref="F382:M382" si="76">F372+F381</f>
        <v>90163</v>
      </c>
      <c r="G382" s="65">
        <f t="shared" si="76"/>
        <v>102571</v>
      </c>
      <c r="H382" s="65">
        <f t="shared" si="76"/>
        <v>94093</v>
      </c>
      <c r="I382" s="65">
        <f t="shared" si="76"/>
        <v>92837.560232920834</v>
      </c>
      <c r="J382" s="65">
        <f t="shared" si="76"/>
        <v>92879.782978313597</v>
      </c>
      <c r="K382" s="65">
        <f t="shared" si="76"/>
        <v>93477.52434833585</v>
      </c>
      <c r="L382" s="65">
        <f t="shared" si="76"/>
        <v>94806.624313514068</v>
      </c>
      <c r="M382" s="65">
        <f t="shared" si="76"/>
        <v>96197.344342719298</v>
      </c>
    </row>
    <row r="383" spans="1:13" outlineLevel="1">
      <c r="A383" s="182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</row>
    <row r="384" spans="1:13" outlineLevel="1">
      <c r="A384" s="182"/>
      <c r="B384" s="66" t="s">
        <v>32</v>
      </c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</row>
    <row r="385" spans="1:13" outlineLevel="1">
      <c r="A385" s="182"/>
      <c r="B385" s="16" t="s">
        <v>249</v>
      </c>
      <c r="C385" s="15"/>
      <c r="D385" s="15"/>
      <c r="E385" s="15"/>
      <c r="F385" s="192">
        <v>267</v>
      </c>
      <c r="G385" s="192">
        <v>262</v>
      </c>
      <c r="H385" s="192">
        <v>258</v>
      </c>
      <c r="I385" s="21">
        <f>H385</f>
        <v>258</v>
      </c>
      <c r="J385" s="21">
        <f>I385</f>
        <v>258</v>
      </c>
      <c r="K385" s="21">
        <f>J385</f>
        <v>258</v>
      </c>
      <c r="L385" s="21">
        <f>K385</f>
        <v>258</v>
      </c>
      <c r="M385" s="21">
        <f>L385</f>
        <v>258</v>
      </c>
    </row>
    <row r="386" spans="1:13" outlineLevel="1">
      <c r="A386" s="182"/>
      <c r="B386" s="16" t="s">
        <v>250</v>
      </c>
      <c r="C386" s="15"/>
      <c r="D386" s="15"/>
      <c r="E386" s="15"/>
      <c r="F386" s="192">
        <v>-5155</v>
      </c>
      <c r="G386" s="192">
        <v>-4283</v>
      </c>
      <c r="H386" s="192">
        <v>-388</v>
      </c>
      <c r="I386" s="21">
        <f>-I247</f>
        <v>-388</v>
      </c>
      <c r="J386" s="21">
        <f>-J247</f>
        <v>-388</v>
      </c>
      <c r="K386" s="21">
        <f>-K247</f>
        <v>-388</v>
      </c>
      <c r="L386" s="21">
        <f>-L247</f>
        <v>-388</v>
      </c>
      <c r="M386" s="21">
        <f>-M247</f>
        <v>-2388</v>
      </c>
    </row>
    <row r="387" spans="1:13" outlineLevel="1">
      <c r="A387" s="182"/>
      <c r="B387" s="16" t="s">
        <v>251</v>
      </c>
      <c r="C387" s="15"/>
      <c r="D387" s="15"/>
      <c r="E387" s="15"/>
      <c r="F387" s="192">
        <v>-27581</v>
      </c>
      <c r="G387" s="192">
        <v>-26788</v>
      </c>
      <c r="H387" s="192">
        <v>-29944</v>
      </c>
      <c r="I387" s="21">
        <f>H387+I326</f>
        <v>-29944</v>
      </c>
      <c r="J387" s="21">
        <f>I387+J326</f>
        <v>-29944</v>
      </c>
      <c r="K387" s="21">
        <f>J387+K326</f>
        <v>-29944</v>
      </c>
      <c r="L387" s="21">
        <f>K387+L326</f>
        <v>-29944</v>
      </c>
      <c r="M387" s="21">
        <f>L387+M326</f>
        <v>-29944</v>
      </c>
    </row>
    <row r="388" spans="1:13" outlineLevel="1">
      <c r="A388" s="182"/>
      <c r="B388" s="16" t="s">
        <v>252</v>
      </c>
      <c r="C388" s="15"/>
      <c r="D388" s="15"/>
      <c r="E388" s="15"/>
      <c r="F388" s="192">
        <v>-50</v>
      </c>
      <c r="G388" s="192">
        <v>363</v>
      </c>
      <c r="H388" s="192">
        <v>-667</v>
      </c>
      <c r="I388" s="21">
        <f>H388</f>
        <v>-667</v>
      </c>
      <c r="J388" s="21">
        <f>I388</f>
        <v>-667</v>
      </c>
      <c r="K388" s="21">
        <f>J388</f>
        <v>-667</v>
      </c>
      <c r="L388" s="21">
        <f>K388</f>
        <v>-667</v>
      </c>
      <c r="M388" s="21">
        <f>L388</f>
        <v>-667</v>
      </c>
    </row>
    <row r="389" spans="1:13" outlineLevel="1">
      <c r="A389" s="182"/>
      <c r="B389" s="16" t="s">
        <v>253</v>
      </c>
      <c r="C389" s="15"/>
      <c r="D389" s="15"/>
      <c r="E389" s="15"/>
      <c r="F389" s="192">
        <v>68261</v>
      </c>
      <c r="G389" s="192">
        <v>66363</v>
      </c>
      <c r="H389" s="192">
        <v>63551</v>
      </c>
      <c r="I389" s="21">
        <f>I233</f>
        <v>64799.638488724246</v>
      </c>
      <c r="J389" s="21">
        <f>J233</f>
        <v>66324.249353952735</v>
      </c>
      <c r="K389" s="21">
        <f>K233</f>
        <v>67679.187825630972</v>
      </c>
      <c r="L389" s="21">
        <f>L233</f>
        <v>69482.10518280862</v>
      </c>
      <c r="M389" s="21">
        <f>M233</f>
        <v>71744.779333453364</v>
      </c>
    </row>
    <row r="390" spans="1:13" outlineLevel="1">
      <c r="A390" s="182"/>
      <c r="B390" s="61" t="s">
        <v>254</v>
      </c>
      <c r="C390" s="15"/>
      <c r="D390" s="15"/>
      <c r="E390" s="15"/>
      <c r="F390" s="65">
        <f t="shared" ref="F390:M390" si="77">F385+F386+F387+F388+F389</f>
        <v>35742</v>
      </c>
      <c r="G390" s="65">
        <f t="shared" si="77"/>
        <v>35917</v>
      </c>
      <c r="H390" s="65">
        <f t="shared" si="77"/>
        <v>32810</v>
      </c>
      <c r="I390" s="65">
        <f t="shared" si="77"/>
        <v>34058.638488724246</v>
      </c>
      <c r="J390" s="65">
        <f t="shared" si="77"/>
        <v>35583.249353952735</v>
      </c>
      <c r="K390" s="65">
        <f t="shared" si="77"/>
        <v>36938.187825630972</v>
      </c>
      <c r="L390" s="65">
        <f t="shared" si="77"/>
        <v>38741.10518280862</v>
      </c>
      <c r="M390" s="65">
        <f t="shared" si="77"/>
        <v>39003.779333453364</v>
      </c>
    </row>
    <row r="391" spans="1:13" outlineLevel="1">
      <c r="A391" s="182"/>
      <c r="B391" s="16" t="s">
        <v>74</v>
      </c>
      <c r="C391" s="15"/>
      <c r="D391" s="15"/>
      <c r="E391" s="15"/>
      <c r="F391" s="192">
        <v>645</v>
      </c>
      <c r="G391" s="192">
        <v>776</v>
      </c>
      <c r="H391" s="192">
        <v>248</v>
      </c>
      <c r="I391" s="21">
        <f>I241</f>
        <v>307.28957686249998</v>
      </c>
      <c r="J391" s="21">
        <f>J241</f>
        <v>369.14493491299078</v>
      </c>
      <c r="K391" s="21">
        <f>K241</f>
        <v>430.74424713695169</v>
      </c>
      <c r="L391" s="21">
        <f>L241</f>
        <v>496.03895078672872</v>
      </c>
      <c r="M391" s="21">
        <f>M241</f>
        <v>565.10714830335701</v>
      </c>
    </row>
    <row r="392" spans="1:13" outlineLevel="1">
      <c r="A392" s="182"/>
      <c r="B392" s="61" t="s">
        <v>255</v>
      </c>
      <c r="C392" s="15"/>
      <c r="D392" s="15"/>
      <c r="E392" s="15"/>
      <c r="F392" s="65">
        <f t="shared" ref="F392:M392" si="78">F390+F391</f>
        <v>36387</v>
      </c>
      <c r="G392" s="65">
        <f t="shared" si="78"/>
        <v>36693</v>
      </c>
      <c r="H392" s="65">
        <f t="shared" si="78"/>
        <v>33058</v>
      </c>
      <c r="I392" s="65">
        <f t="shared" si="78"/>
        <v>34365.928065586748</v>
      </c>
      <c r="J392" s="65">
        <f t="shared" si="78"/>
        <v>35952.394288865726</v>
      </c>
      <c r="K392" s="65">
        <f t="shared" si="78"/>
        <v>37368.932072767922</v>
      </c>
      <c r="L392" s="65">
        <f t="shared" si="78"/>
        <v>39237.14413359535</v>
      </c>
      <c r="M392" s="65">
        <f t="shared" si="78"/>
        <v>39568.886481756723</v>
      </c>
    </row>
    <row r="393" spans="1:13" outlineLevel="1">
      <c r="A393" s="182"/>
      <c r="B393" s="61" t="s">
        <v>256</v>
      </c>
      <c r="C393" s="15"/>
      <c r="D393" s="15"/>
      <c r="E393" s="15"/>
      <c r="F393" s="65">
        <f t="shared" ref="F393:M393" si="79">F382+F392</f>
        <v>126550</v>
      </c>
      <c r="G393" s="65">
        <f t="shared" si="79"/>
        <v>139264</v>
      </c>
      <c r="H393" s="65">
        <f t="shared" si="79"/>
        <v>127151</v>
      </c>
      <c r="I393" s="65">
        <f t="shared" si="79"/>
        <v>127203.48829850758</v>
      </c>
      <c r="J393" s="65">
        <f t="shared" si="79"/>
        <v>128832.17726717933</v>
      </c>
      <c r="K393" s="65">
        <f t="shared" si="79"/>
        <v>130846.45642110377</v>
      </c>
      <c r="L393" s="65">
        <f t="shared" si="79"/>
        <v>134043.76844710941</v>
      </c>
      <c r="M393" s="65">
        <f t="shared" si="79"/>
        <v>135766.23082447602</v>
      </c>
    </row>
    <row r="394" spans="1:13" outlineLevel="1">
      <c r="A394" s="182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</row>
    <row r="395" spans="1:13" outlineLevel="1">
      <c r="A395" s="182" t="s">
        <v>61</v>
      </c>
      <c r="B395" s="68" t="s">
        <v>257</v>
      </c>
      <c r="C395" s="15"/>
      <c r="D395" s="15"/>
      <c r="E395" s="15"/>
      <c r="F395" s="240">
        <f>IF(ABS(F393-F361)&lt;0.001,0,1)</f>
        <v>0</v>
      </c>
      <c r="G395" s="240">
        <f t="shared" ref="G395:M395" si="80">IF(ABS(G393-G361)&lt;0.001,0,1)</f>
        <v>0</v>
      </c>
      <c r="H395" s="240">
        <f t="shared" si="80"/>
        <v>0</v>
      </c>
      <c r="I395" s="240">
        <f t="shared" si="80"/>
        <v>0</v>
      </c>
      <c r="J395" s="240">
        <f t="shared" si="80"/>
        <v>0</v>
      </c>
      <c r="K395" s="240">
        <f t="shared" si="80"/>
        <v>0</v>
      </c>
      <c r="L395" s="240">
        <f t="shared" si="80"/>
        <v>0</v>
      </c>
      <c r="M395" s="240">
        <f t="shared" si="80"/>
        <v>0</v>
      </c>
    </row>
    <row r="396" spans="1:13" ht="16.8" customHeight="1" outlineLevel="1">
      <c r="A396" s="182"/>
      <c r="B396" s="249"/>
      <c r="C396" s="249"/>
      <c r="D396" s="249"/>
      <c r="E396" s="249"/>
      <c r="F396" s="249"/>
      <c r="G396" s="249"/>
      <c r="H396" s="249"/>
      <c r="I396" s="249"/>
      <c r="J396" s="249"/>
      <c r="K396" s="249"/>
      <c r="L396" s="249"/>
      <c r="M396" s="249"/>
    </row>
    <row r="397" spans="1:13" outlineLevel="1">
      <c r="A397" s="182" t="s">
        <v>61</v>
      </c>
      <c r="B397" s="30"/>
      <c r="C397" s="19"/>
      <c r="D397" s="19"/>
      <c r="E397" s="19"/>
      <c r="F397" s="31"/>
      <c r="G397" s="31"/>
      <c r="H397" s="31"/>
      <c r="I397" s="24"/>
      <c r="J397" s="24"/>
      <c r="K397" s="24"/>
      <c r="L397" s="24"/>
      <c r="M397" s="24"/>
    </row>
    <row r="398" spans="1:13">
      <c r="A398" s="182"/>
      <c r="B398" s="40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>
      <c r="B399" s="72" t="s">
        <v>470</v>
      </c>
    </row>
    <row r="400" spans="1:13">
      <c r="B400" s="69" t="s">
        <v>469</v>
      </c>
    </row>
    <row r="401" spans="2:2">
      <c r="B401" s="275" t="s">
        <v>520</v>
      </c>
    </row>
    <row r="402" spans="2:2">
      <c r="B402" s="69" t="s">
        <v>466</v>
      </c>
    </row>
    <row r="403" spans="2:2">
      <c r="B403" s="69" t="s">
        <v>467</v>
      </c>
    </row>
    <row r="404" spans="2:2">
      <c r="B404" s="69" t="s">
        <v>468</v>
      </c>
    </row>
  </sheetData>
  <sheetProtection selectLockedCells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</vt:lpstr>
      <vt:lpstr>Dashboard</vt:lpstr>
      <vt:lpstr>Output</vt:lpstr>
      <vt:lpstr>Input</vt:lpstr>
      <vt:lpstr>Model</vt:lpstr>
      <vt:lpstr>ScenarioSwitch</vt:lpstr>
    </vt:vector>
  </TitlesOfParts>
  <Company>Said Bawazir Trd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Rivan</dc:creator>
  <cp:lastModifiedBy>Mohammed Rivan</cp:lastModifiedBy>
  <dcterms:created xsi:type="dcterms:W3CDTF">2026-09-23T20:03:45Z</dcterms:created>
  <dcterms:modified xsi:type="dcterms:W3CDTF">2026-10-03T08:52:11Z</dcterms:modified>
</cp:coreProperties>
</file>