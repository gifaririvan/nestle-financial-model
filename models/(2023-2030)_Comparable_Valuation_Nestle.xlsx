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. PERSONAL\5. Work\Portfolio\Nestle\Financial Modeling - One Drive\202610\"/>
    </mc:Choice>
  </mc:AlternateContent>
  <xr:revisionPtr revIDLastSave="0" documentId="13_ncr:1_{6CE9AE9D-3B8F-419C-AC11-0519586E8BAE}" xr6:coauthVersionLast="36" xr6:coauthVersionMax="36" xr10:uidLastSave="{00000000-0000-0000-0000-000000000000}"/>
  <workbookProtection workbookAlgorithmName="SHA-512" workbookHashValue="vXc5iTMBw7FXrwZkVa+hDrdf+agzvtgn10ePkHmos0gI3anZRrk6FOk1N7trubhQJHXVY02lXUvPyG2R4KeKcw==" workbookSaltValue="1VYwUdJAD7C5kzCYrvMWHg==" workbookSpinCount="100000" lockStructure="1"/>
  <bookViews>
    <workbookView xWindow="0" yWindow="0" windowWidth="23040" windowHeight="10284" tabRatio="500" firstSheet="1" activeTab="6" xr2:uid="{00000000-000D-0000-FFFF-FFFF00000000}"/>
  </bookViews>
  <sheets>
    <sheet name="Cover" sheetId="1" r:id="rId1"/>
    <sheet name="Dashboard" sheetId="2" r:id="rId2"/>
    <sheet name="Valuation" sheetId="4" r:id="rId3"/>
    <sheet name="Trading_Comps" sheetId="5" r:id="rId4"/>
    <sheet name="Precedent_Txns" sheetId="6" r:id="rId5"/>
    <sheet name="Peer_Inputs" sheetId="7" r:id="rId6"/>
    <sheet name="Nestle_Inputs" sheetId="8" r:id="rId7"/>
  </sheets>
  <definedNames>
    <definedName name="_xlchart.v1.0" hidden="1">Dashboard!$B$113:$B$119</definedName>
    <definedName name="_xlchart.v1.1" hidden="1">Dashboard!$C$113:$C$119</definedName>
  </definedNames>
  <calcPr calcId="191029" iterate="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2" l="1"/>
  <c r="D51" i="8" l="1"/>
  <c r="D52" i="8" s="1"/>
  <c r="D72" i="8" s="1"/>
  <c r="F72" i="8" s="1"/>
  <c r="D43" i="8"/>
  <c r="G30" i="8"/>
  <c r="F30" i="8"/>
  <c r="I29" i="8"/>
  <c r="I30" i="8" s="1"/>
  <c r="H29" i="8"/>
  <c r="H30" i="8" s="1"/>
  <c r="G29" i="8"/>
  <c r="F29" i="8"/>
  <c r="E29" i="8"/>
  <c r="E30" i="8" s="1"/>
  <c r="D29" i="8"/>
  <c r="D30" i="8" s="1"/>
  <c r="I26" i="8"/>
  <c r="I28" i="8" s="1"/>
  <c r="I33" i="8" s="1"/>
  <c r="F26" i="8"/>
  <c r="F32" i="8" s="1"/>
  <c r="F23" i="8"/>
  <c r="G45" i="5" s="1"/>
  <c r="I20" i="8"/>
  <c r="I24" i="8" s="1"/>
  <c r="I19" i="8"/>
  <c r="H19" i="8"/>
  <c r="G19" i="8"/>
  <c r="F19" i="8"/>
  <c r="F20" i="8" s="1"/>
  <c r="F22" i="8" s="1"/>
  <c r="E19" i="8"/>
  <c r="D19" i="8"/>
  <c r="I13" i="8"/>
  <c r="H13" i="8"/>
  <c r="G13" i="8"/>
  <c r="F13" i="8"/>
  <c r="E13" i="8"/>
  <c r="D13" i="8"/>
  <c r="I10" i="8"/>
  <c r="H10" i="8"/>
  <c r="G10" i="8"/>
  <c r="F10" i="8"/>
  <c r="E10" i="8"/>
  <c r="G6" i="8"/>
  <c r="H6" i="8" s="1"/>
  <c r="I6" i="8" s="1"/>
  <c r="E6" i="8"/>
  <c r="D6" i="8" s="1"/>
  <c r="K43" i="7"/>
  <c r="J43" i="7"/>
  <c r="N31" i="7" s="1"/>
  <c r="I43" i="7"/>
  <c r="M31" i="7" s="1"/>
  <c r="O14" i="5" s="1"/>
  <c r="K42" i="7"/>
  <c r="J42" i="7"/>
  <c r="K31" i="7" s="1"/>
  <c r="I42" i="7"/>
  <c r="J31" i="7" s="1"/>
  <c r="K41" i="7"/>
  <c r="J41" i="7"/>
  <c r="I41" i="7"/>
  <c r="G31" i="7" s="1"/>
  <c r="K40" i="7"/>
  <c r="F31" i="7" s="1"/>
  <c r="F43" i="5" s="1"/>
  <c r="J40" i="7"/>
  <c r="E31" i="7" s="1"/>
  <c r="I40" i="7"/>
  <c r="D31" i="7" s="1"/>
  <c r="E43" i="5" s="1"/>
  <c r="C32" i="7"/>
  <c r="B32" i="7"/>
  <c r="O31" i="7"/>
  <c r="L31" i="7"/>
  <c r="I31" i="7"/>
  <c r="H31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N20" i="7"/>
  <c r="I20" i="7"/>
  <c r="M20" i="7" s="1"/>
  <c r="N19" i="7"/>
  <c r="I19" i="7"/>
  <c r="O19" i="7" s="1"/>
  <c r="D14" i="5" s="1"/>
  <c r="N18" i="7"/>
  <c r="M18" i="7"/>
  <c r="L13" i="5" s="1"/>
  <c r="I18" i="7"/>
  <c r="O18" i="7" s="1"/>
  <c r="N17" i="7"/>
  <c r="M17" i="7"/>
  <c r="I17" i="7"/>
  <c r="N16" i="7"/>
  <c r="M16" i="7"/>
  <c r="I16" i="7"/>
  <c r="O16" i="7" s="1"/>
  <c r="D11" i="5" s="1"/>
  <c r="N15" i="7"/>
  <c r="M15" i="7"/>
  <c r="I15" i="7"/>
  <c r="O15" i="7" s="1"/>
  <c r="N14" i="7"/>
  <c r="M14" i="7"/>
  <c r="I14" i="7"/>
  <c r="O14" i="7" s="1"/>
  <c r="N13" i="7"/>
  <c r="O13" i="7" s="1"/>
  <c r="D8" i="5" s="1"/>
  <c r="M13" i="7"/>
  <c r="M8" i="5" s="1"/>
  <c r="I13" i="7"/>
  <c r="N48" i="6"/>
  <c r="M48" i="6"/>
  <c r="C48" i="6"/>
  <c r="N47" i="6"/>
  <c r="K47" i="6"/>
  <c r="C47" i="6"/>
  <c r="N46" i="6"/>
  <c r="L46" i="6"/>
  <c r="K46" i="6"/>
  <c r="C46" i="6"/>
  <c r="N45" i="6"/>
  <c r="C45" i="6"/>
  <c r="N44" i="6"/>
  <c r="M44" i="6"/>
  <c r="C44" i="6"/>
  <c r="N43" i="6"/>
  <c r="M43" i="6"/>
  <c r="L43" i="6"/>
  <c r="K43" i="6"/>
  <c r="C43" i="6"/>
  <c r="N42" i="6"/>
  <c r="L42" i="6"/>
  <c r="K42" i="6"/>
  <c r="C42" i="6"/>
  <c r="N38" i="6"/>
  <c r="M38" i="6"/>
  <c r="L38" i="6"/>
  <c r="C38" i="6"/>
  <c r="N37" i="6"/>
  <c r="M37" i="6"/>
  <c r="L37" i="6"/>
  <c r="K37" i="6"/>
  <c r="C37" i="6"/>
  <c r="N36" i="6"/>
  <c r="L36" i="6"/>
  <c r="C36" i="6"/>
  <c r="N35" i="6"/>
  <c r="C35" i="6"/>
  <c r="N34" i="6"/>
  <c r="M34" i="6"/>
  <c r="L34" i="6"/>
  <c r="K34" i="6"/>
  <c r="C34" i="6"/>
  <c r="N33" i="6"/>
  <c r="M33" i="6"/>
  <c r="L33" i="6"/>
  <c r="K33" i="6"/>
  <c r="C33" i="6"/>
  <c r="N32" i="6"/>
  <c r="N18" i="6" s="1"/>
  <c r="L32" i="6"/>
  <c r="C32" i="6"/>
  <c r="M14" i="6"/>
  <c r="L14" i="6"/>
  <c r="L48" i="6" s="1"/>
  <c r="K14" i="6"/>
  <c r="M13" i="6"/>
  <c r="M47" i="6" s="1"/>
  <c r="L13" i="6"/>
  <c r="L47" i="6" s="1"/>
  <c r="K13" i="6"/>
  <c r="M12" i="6"/>
  <c r="M46" i="6" s="1"/>
  <c r="L12" i="6"/>
  <c r="K12" i="6"/>
  <c r="K36" i="6" s="1"/>
  <c r="M11" i="6"/>
  <c r="M35" i="6" s="1"/>
  <c r="L11" i="6"/>
  <c r="K11" i="6"/>
  <c r="M10" i="6"/>
  <c r="L10" i="6"/>
  <c r="L44" i="6" s="1"/>
  <c r="K10" i="6"/>
  <c r="K44" i="6" s="1"/>
  <c r="M9" i="6"/>
  <c r="L9" i="6"/>
  <c r="K9" i="6"/>
  <c r="M8" i="6"/>
  <c r="L8" i="6"/>
  <c r="K8" i="6"/>
  <c r="K32" i="6" s="1"/>
  <c r="P95" i="5"/>
  <c r="O95" i="5"/>
  <c r="B95" i="5"/>
  <c r="B94" i="5"/>
  <c r="Q93" i="5"/>
  <c r="O93" i="5"/>
  <c r="P92" i="5"/>
  <c r="K92" i="5"/>
  <c r="J92" i="5"/>
  <c r="B92" i="5"/>
  <c r="O91" i="5"/>
  <c r="Q90" i="5"/>
  <c r="P90" i="5"/>
  <c r="B90" i="5"/>
  <c r="P89" i="5"/>
  <c r="O89" i="5"/>
  <c r="G89" i="5"/>
  <c r="F89" i="5"/>
  <c r="P88" i="5"/>
  <c r="O88" i="5"/>
  <c r="P84" i="5"/>
  <c r="B84" i="5"/>
  <c r="Q83" i="5"/>
  <c r="B83" i="5"/>
  <c r="Q82" i="5"/>
  <c r="B82" i="5"/>
  <c r="Q81" i="5"/>
  <c r="P81" i="5"/>
  <c r="O81" i="5"/>
  <c r="B81" i="5"/>
  <c r="O80" i="5"/>
  <c r="I80" i="5"/>
  <c r="H80" i="5"/>
  <c r="Q79" i="5"/>
  <c r="B79" i="5"/>
  <c r="I78" i="5"/>
  <c r="G78" i="5"/>
  <c r="F78" i="5"/>
  <c r="P77" i="5"/>
  <c r="O77" i="5"/>
  <c r="Q73" i="5"/>
  <c r="P73" i="5"/>
  <c r="O73" i="5"/>
  <c r="Q71" i="5"/>
  <c r="Q70" i="5"/>
  <c r="P70" i="5"/>
  <c r="K70" i="5"/>
  <c r="O69" i="5"/>
  <c r="B69" i="5"/>
  <c r="Q68" i="5"/>
  <c r="O68" i="5"/>
  <c r="P67" i="5"/>
  <c r="O67" i="5"/>
  <c r="I67" i="5"/>
  <c r="H67" i="5"/>
  <c r="G67" i="5"/>
  <c r="P66" i="5"/>
  <c r="O66" i="5"/>
  <c r="F66" i="5"/>
  <c r="M45" i="5"/>
  <c r="F45" i="5"/>
  <c r="E45" i="5"/>
  <c r="D45" i="5"/>
  <c r="M44" i="5"/>
  <c r="L44" i="5"/>
  <c r="K44" i="5"/>
  <c r="J44" i="5"/>
  <c r="I44" i="5"/>
  <c r="H44" i="5"/>
  <c r="D73" i="5" s="1"/>
  <c r="G44" i="5"/>
  <c r="F44" i="5"/>
  <c r="E44" i="5"/>
  <c r="D44" i="5"/>
  <c r="C44" i="5"/>
  <c r="B44" i="5"/>
  <c r="M43" i="5"/>
  <c r="D43" i="5"/>
  <c r="C43" i="5"/>
  <c r="B43" i="5"/>
  <c r="M42" i="5"/>
  <c r="L42" i="5"/>
  <c r="K42" i="5"/>
  <c r="J42" i="5"/>
  <c r="I42" i="5"/>
  <c r="H42" i="5"/>
  <c r="G42" i="5"/>
  <c r="F42" i="5"/>
  <c r="E42" i="5"/>
  <c r="D42" i="5"/>
  <c r="C42" i="5"/>
  <c r="B42" i="5"/>
  <c r="M41" i="5"/>
  <c r="L41" i="5"/>
  <c r="K41" i="5"/>
  <c r="J41" i="5"/>
  <c r="I41" i="5"/>
  <c r="H41" i="5"/>
  <c r="D104" i="2" s="1"/>
  <c r="G41" i="5"/>
  <c r="F41" i="5"/>
  <c r="E41" i="5"/>
  <c r="D41" i="5"/>
  <c r="C41" i="5"/>
  <c r="B41" i="5"/>
  <c r="M40" i="5"/>
  <c r="L40" i="5"/>
  <c r="K40" i="5"/>
  <c r="J40" i="5"/>
  <c r="I40" i="5"/>
  <c r="H40" i="5"/>
  <c r="D103" i="2" s="1"/>
  <c r="G40" i="5"/>
  <c r="F40" i="5"/>
  <c r="E40" i="5"/>
  <c r="D40" i="5"/>
  <c r="C40" i="5"/>
  <c r="B40" i="5"/>
  <c r="M39" i="5"/>
  <c r="L39" i="5"/>
  <c r="K39" i="5"/>
  <c r="J39" i="5"/>
  <c r="I39" i="5"/>
  <c r="H39" i="5"/>
  <c r="D102" i="2" s="1"/>
  <c r="G39" i="5"/>
  <c r="F39" i="5"/>
  <c r="E39" i="5"/>
  <c r="D39" i="5"/>
  <c r="C39" i="5"/>
  <c r="B39" i="5"/>
  <c r="M38" i="5"/>
  <c r="M46" i="5" s="1"/>
  <c r="L38" i="5"/>
  <c r="K38" i="5"/>
  <c r="J38" i="5"/>
  <c r="I38" i="5"/>
  <c r="H38" i="5"/>
  <c r="G38" i="5"/>
  <c r="F38" i="5"/>
  <c r="E38" i="5"/>
  <c r="D38" i="5"/>
  <c r="C38" i="5"/>
  <c r="B38" i="5"/>
  <c r="M37" i="5"/>
  <c r="L37" i="5"/>
  <c r="K37" i="5"/>
  <c r="J37" i="5"/>
  <c r="I37" i="5"/>
  <c r="H37" i="5"/>
  <c r="G37" i="5"/>
  <c r="F37" i="5"/>
  <c r="E37" i="5"/>
  <c r="D37" i="5"/>
  <c r="C37" i="5"/>
  <c r="B37" i="5"/>
  <c r="D17" i="5"/>
  <c r="Q15" i="5"/>
  <c r="Q95" i="5" s="1"/>
  <c r="P15" i="5"/>
  <c r="O15" i="5"/>
  <c r="O84" i="5" s="1"/>
  <c r="C15" i="5"/>
  <c r="B15" i="5"/>
  <c r="B73" i="5" s="1"/>
  <c r="Q14" i="5"/>
  <c r="C14" i="5"/>
  <c r="B14" i="5"/>
  <c r="B72" i="5" s="1"/>
  <c r="Q13" i="5"/>
  <c r="P13" i="5"/>
  <c r="O13" i="5"/>
  <c r="O82" i="5" s="1"/>
  <c r="N13" i="5"/>
  <c r="M13" i="5"/>
  <c r="K13" i="5"/>
  <c r="H13" i="5"/>
  <c r="H93" i="5" s="1"/>
  <c r="D13" i="5"/>
  <c r="C13" i="5"/>
  <c r="B13" i="5"/>
  <c r="Q12" i="5"/>
  <c r="Q92" i="5" s="1"/>
  <c r="P12" i="5"/>
  <c r="O12" i="5"/>
  <c r="M12" i="5"/>
  <c r="K12" i="5"/>
  <c r="K81" i="5" s="1"/>
  <c r="J12" i="5"/>
  <c r="I12" i="5"/>
  <c r="C12" i="5"/>
  <c r="B12" i="5"/>
  <c r="B70" i="5" s="1"/>
  <c r="Q11" i="5"/>
  <c r="Q91" i="5" s="1"/>
  <c r="P11" i="5"/>
  <c r="O11" i="5"/>
  <c r="K11" i="5"/>
  <c r="J11" i="5"/>
  <c r="J80" i="5" s="1"/>
  <c r="I11" i="5"/>
  <c r="H11" i="5"/>
  <c r="G11" i="5"/>
  <c r="C11" i="5"/>
  <c r="B11" i="5"/>
  <c r="Q10" i="5"/>
  <c r="P10" i="5"/>
  <c r="O10" i="5"/>
  <c r="M10" i="5"/>
  <c r="H10" i="5"/>
  <c r="H90" i="5" s="1"/>
  <c r="G10" i="5"/>
  <c r="F10" i="5"/>
  <c r="D10" i="5"/>
  <c r="C10" i="5"/>
  <c r="B10" i="5"/>
  <c r="B68" i="5" s="1"/>
  <c r="Q9" i="5"/>
  <c r="Q89" i="5" s="1"/>
  <c r="P9" i="5"/>
  <c r="P78" i="5" s="1"/>
  <c r="O9" i="5"/>
  <c r="O78" i="5" s="1"/>
  <c r="N9" i="5"/>
  <c r="K9" i="5"/>
  <c r="K67" i="5" s="1"/>
  <c r="I9" i="5"/>
  <c r="I89" i="5" s="1"/>
  <c r="H9" i="5"/>
  <c r="H89" i="5" s="1"/>
  <c r="G9" i="5"/>
  <c r="F9" i="5"/>
  <c r="F67" i="5" s="1"/>
  <c r="D9" i="5"/>
  <c r="C9" i="5"/>
  <c r="B9" i="5"/>
  <c r="B67" i="5" s="1"/>
  <c r="Q8" i="5"/>
  <c r="P8" i="5"/>
  <c r="O8" i="5"/>
  <c r="F8" i="5"/>
  <c r="C8" i="5"/>
  <c r="B8" i="5"/>
  <c r="C51" i="4"/>
  <c r="L9" i="1" s="1"/>
  <c r="F50" i="4"/>
  <c r="B50" i="4"/>
  <c r="F49" i="4"/>
  <c r="B49" i="4"/>
  <c r="F48" i="4"/>
  <c r="B48" i="4"/>
  <c r="F47" i="4"/>
  <c r="B47" i="4"/>
  <c r="F46" i="4"/>
  <c r="B46" i="4"/>
  <c r="F45" i="4"/>
  <c r="B45" i="4"/>
  <c r="F44" i="4"/>
  <c r="B44" i="4"/>
  <c r="F43" i="4"/>
  <c r="B43" i="4"/>
  <c r="F42" i="4"/>
  <c r="B42" i="4"/>
  <c r="I38" i="4"/>
  <c r="D50" i="4" s="1"/>
  <c r="E50" i="4" s="1"/>
  <c r="H38" i="4"/>
  <c r="F74" i="2" s="1"/>
  <c r="G38" i="4"/>
  <c r="E95" i="2" s="1"/>
  <c r="H37" i="4"/>
  <c r="G37" i="4"/>
  <c r="D36" i="4"/>
  <c r="C36" i="4"/>
  <c r="D35" i="4"/>
  <c r="C35" i="4"/>
  <c r="D15" i="4"/>
  <c r="D11" i="4"/>
  <c r="C25" i="4" s="1"/>
  <c r="D10" i="4"/>
  <c r="I36" i="4" s="1"/>
  <c r="D9" i="4"/>
  <c r="D8" i="4"/>
  <c r="B107" i="2"/>
  <c r="B106" i="2"/>
  <c r="B105" i="2"/>
  <c r="B104" i="2"/>
  <c r="B103" i="2"/>
  <c r="B102" i="2"/>
  <c r="D100" i="2"/>
  <c r="H96" i="2"/>
  <c r="H95" i="2"/>
  <c r="G95" i="2"/>
  <c r="F95" i="2"/>
  <c r="B95" i="2"/>
  <c r="H94" i="2"/>
  <c r="F94" i="2"/>
  <c r="B94" i="2"/>
  <c r="H93" i="2"/>
  <c r="B93" i="2"/>
  <c r="H92" i="2"/>
  <c r="B92" i="2"/>
  <c r="H91" i="2"/>
  <c r="B91" i="2"/>
  <c r="H90" i="2"/>
  <c r="B90" i="2"/>
  <c r="H89" i="2"/>
  <c r="B89" i="2"/>
  <c r="H88" i="2"/>
  <c r="B88" i="2"/>
  <c r="H87" i="2"/>
  <c r="B87" i="2"/>
  <c r="H74" i="2"/>
  <c r="D5" i="2" s="1"/>
  <c r="E74" i="2"/>
  <c r="F73" i="2"/>
  <c r="E73" i="2"/>
  <c r="L15" i="1"/>
  <c r="L14" i="1"/>
  <c r="L12" i="1"/>
  <c r="L11" i="1"/>
  <c r="G73" i="2" l="1"/>
  <c r="H81" i="2"/>
  <c r="G93" i="2"/>
  <c r="J5" i="2" s="1"/>
  <c r="D48" i="4"/>
  <c r="E48" i="4" s="1"/>
  <c r="C114" i="2" s="1"/>
  <c r="J36" i="4"/>
  <c r="I93" i="2" s="1"/>
  <c r="J6" i="2" s="1"/>
  <c r="J43" i="5"/>
  <c r="M14" i="5"/>
  <c r="O83" i="5"/>
  <c r="O72" i="5"/>
  <c r="O94" i="5"/>
  <c r="J47" i="5"/>
  <c r="Q66" i="5"/>
  <c r="Q77" i="5"/>
  <c r="Q88" i="5"/>
  <c r="M77" i="5"/>
  <c r="M66" i="5"/>
  <c r="L10" i="5"/>
  <c r="N10" i="5"/>
  <c r="P15" i="7"/>
  <c r="E10" i="5" s="1"/>
  <c r="K10" i="5"/>
  <c r="J10" i="5"/>
  <c r="I10" i="5"/>
  <c r="B5" i="2"/>
  <c r="F82" i="2"/>
  <c r="E82" i="2"/>
  <c r="N20" i="6"/>
  <c r="D26" i="4" s="1"/>
  <c r="N16" i="6"/>
  <c r="N17" i="6"/>
  <c r="F26" i="4" s="1"/>
  <c r="N21" i="6"/>
  <c r="H82" i="2"/>
  <c r="C119" i="2" s="1"/>
  <c r="B101" i="2"/>
  <c r="B89" i="5"/>
  <c r="P91" i="5"/>
  <c r="P69" i="5"/>
  <c r="P80" i="5"/>
  <c r="I46" i="5"/>
  <c r="G90" i="5"/>
  <c r="G68" i="5"/>
  <c r="G79" i="5"/>
  <c r="L15" i="5"/>
  <c r="P20" i="7"/>
  <c r="E15" i="5" s="1"/>
  <c r="N15" i="5"/>
  <c r="M15" i="5"/>
  <c r="K15" i="5"/>
  <c r="I15" i="5"/>
  <c r="H15" i="5"/>
  <c r="J15" i="5"/>
  <c r="F15" i="5"/>
  <c r="H43" i="5"/>
  <c r="L13" i="1"/>
  <c r="J14" i="5"/>
  <c r="J81" i="5"/>
  <c r="J70" i="5"/>
  <c r="C104" i="2"/>
  <c r="B78" i="5"/>
  <c r="N19" i="6"/>
  <c r="E26" i="4" s="1"/>
  <c r="N82" i="5"/>
  <c r="N93" i="5"/>
  <c r="J46" i="5"/>
  <c r="P93" i="5"/>
  <c r="P82" i="5"/>
  <c r="M42" i="6"/>
  <c r="M32" i="6"/>
  <c r="M90" i="5"/>
  <c r="M79" i="5"/>
  <c r="I43" i="5"/>
  <c r="I47" i="5" s="1"/>
  <c r="M81" i="5"/>
  <c r="M92" i="5"/>
  <c r="M70" i="5"/>
  <c r="O70" i="5"/>
  <c r="O23" i="5" s="1"/>
  <c r="O92" i="5"/>
  <c r="O29" i="5" s="1"/>
  <c r="N71" i="5"/>
  <c r="K24" i="6"/>
  <c r="L43" i="5"/>
  <c r="L47" i="5" s="1"/>
  <c r="B88" i="5"/>
  <c r="B100" i="2"/>
  <c r="B77" i="5"/>
  <c r="B66" i="5"/>
  <c r="Q94" i="5"/>
  <c r="Q72" i="5"/>
  <c r="P71" i="5"/>
  <c r="L11" i="5"/>
  <c r="M11" i="5"/>
  <c r="F11" i="5"/>
  <c r="P16" i="7"/>
  <c r="E11" i="5" s="1"/>
  <c r="N11" i="5"/>
  <c r="M88" i="5"/>
  <c r="O28" i="5"/>
  <c r="C26" i="4"/>
  <c r="K69" i="5"/>
  <c r="K91" i="5"/>
  <c r="K82" i="5"/>
  <c r="K71" i="5"/>
  <c r="K93" i="5"/>
  <c r="F68" i="5"/>
  <c r="F79" i="5"/>
  <c r="F90" i="5"/>
  <c r="K80" i="5"/>
  <c r="I81" i="5"/>
  <c r="I92" i="5"/>
  <c r="K43" i="5"/>
  <c r="K46" i="5" s="1"/>
  <c r="P14" i="5"/>
  <c r="M68" i="5"/>
  <c r="H78" i="5"/>
  <c r="H91" i="5"/>
  <c r="H69" i="5"/>
  <c r="B71" i="5"/>
  <c r="B93" i="5"/>
  <c r="D47" i="5"/>
  <c r="D46" i="5"/>
  <c r="D67" i="5"/>
  <c r="D101" i="2"/>
  <c r="D105" i="2"/>
  <c r="D71" i="5"/>
  <c r="C103" i="2"/>
  <c r="J91" i="5"/>
  <c r="J69" i="5"/>
  <c r="F46" i="5"/>
  <c r="F47" i="5"/>
  <c r="F36" i="4"/>
  <c r="H36" i="4" s="1"/>
  <c r="E36" i="4"/>
  <c r="G36" i="4" s="1"/>
  <c r="I35" i="4"/>
  <c r="E35" i="4"/>
  <c r="G35" i="4" s="1"/>
  <c r="M93" i="5"/>
  <c r="M71" i="5"/>
  <c r="M82" i="5"/>
  <c r="H68" i="5"/>
  <c r="H79" i="5"/>
  <c r="K38" i="6"/>
  <c r="K17" i="6" s="1"/>
  <c r="K48" i="6"/>
  <c r="I70" i="5"/>
  <c r="O20" i="7"/>
  <c r="D15" i="5" s="1"/>
  <c r="I37" i="4"/>
  <c r="E94" i="2"/>
  <c r="G74" i="2"/>
  <c r="G80" i="5"/>
  <c r="G69" i="5"/>
  <c r="G91" i="5"/>
  <c r="N25" i="6"/>
  <c r="G26" i="4" s="1"/>
  <c r="L26" i="4" s="1"/>
  <c r="N24" i="6"/>
  <c r="H26" i="4" s="1"/>
  <c r="N23" i="6"/>
  <c r="I26" i="4" s="1"/>
  <c r="M26" i="4" s="1"/>
  <c r="I69" i="5"/>
  <c r="I91" i="5"/>
  <c r="G15" i="5"/>
  <c r="E47" i="5"/>
  <c r="E46" i="5"/>
  <c r="M47" i="5"/>
  <c r="M36" i="6"/>
  <c r="F35" i="4"/>
  <c r="H35" i="4" s="1"/>
  <c r="G46" i="5"/>
  <c r="F24" i="8"/>
  <c r="D66" i="5"/>
  <c r="D69" i="5"/>
  <c r="Q78" i="5"/>
  <c r="H82" i="5"/>
  <c r="K23" i="6"/>
  <c r="O17" i="7"/>
  <c r="D12" i="5" s="1"/>
  <c r="D26" i="8"/>
  <c r="D20" i="8"/>
  <c r="I32" i="8"/>
  <c r="F88" i="5"/>
  <c r="F77" i="5"/>
  <c r="O90" i="5"/>
  <c r="O79" i="5"/>
  <c r="K89" i="5"/>
  <c r="K78" i="5"/>
  <c r="N67" i="5"/>
  <c r="N89" i="5"/>
  <c r="N78" i="5"/>
  <c r="Q80" i="5"/>
  <c r="L82" i="5"/>
  <c r="L93" i="5"/>
  <c r="H26" i="8"/>
  <c r="H20" i="8"/>
  <c r="Q67" i="5"/>
  <c r="H71" i="5"/>
  <c r="P13" i="7"/>
  <c r="E8" i="5" s="1"/>
  <c r="F28" i="8"/>
  <c r="L12" i="5"/>
  <c r="P17" i="7"/>
  <c r="E12" i="5" s="1"/>
  <c r="N12" i="5"/>
  <c r="E20" i="8"/>
  <c r="E26" i="8"/>
  <c r="D107" i="2"/>
  <c r="P68" i="5"/>
  <c r="P79" i="5"/>
  <c r="G20" i="8"/>
  <c r="G26" i="8"/>
  <c r="J38" i="4"/>
  <c r="I95" i="2" s="1"/>
  <c r="D6" i="2" s="1"/>
  <c r="H8" i="5"/>
  <c r="M45" i="6"/>
  <c r="J8" i="5"/>
  <c r="B91" i="5"/>
  <c r="B80" i="5"/>
  <c r="F13" i="5"/>
  <c r="G43" i="5"/>
  <c r="K45" i="6"/>
  <c r="K25" i="6" s="1"/>
  <c r="K35" i="6"/>
  <c r="K21" i="6" s="1"/>
  <c r="G13" i="5"/>
  <c r="D68" i="5"/>
  <c r="L45" i="6"/>
  <c r="L23" i="6" s="1"/>
  <c r="I25" i="4" s="1"/>
  <c r="M25" i="4" s="1"/>
  <c r="D33" i="4" s="1"/>
  <c r="F33" i="4" s="1"/>
  <c r="H33" i="4" s="1"/>
  <c r="L35" i="6"/>
  <c r="L19" i="6" s="1"/>
  <c r="P18" i="7"/>
  <c r="E13" i="5" s="1"/>
  <c r="Q69" i="5"/>
  <c r="M19" i="7"/>
  <c r="K14" i="5" s="1"/>
  <c r="L8" i="5"/>
  <c r="K8" i="5"/>
  <c r="I8" i="5"/>
  <c r="G8" i="5"/>
  <c r="N8" i="5"/>
  <c r="F12" i="5"/>
  <c r="G47" i="5"/>
  <c r="O27" i="5"/>
  <c r="P14" i="7"/>
  <c r="E9" i="5" s="1"/>
  <c r="L9" i="5"/>
  <c r="M9" i="5"/>
  <c r="J9" i="5"/>
  <c r="G12" i="5"/>
  <c r="I13" i="5"/>
  <c r="H12" i="5"/>
  <c r="J13" i="5"/>
  <c r="D70" i="5"/>
  <c r="L71" i="5"/>
  <c r="I22" i="8"/>
  <c r="I23" i="8" s="1"/>
  <c r="Q84" i="5"/>
  <c r="O71" i="5"/>
  <c r="O24" i="5" s="1"/>
  <c r="L14" i="5"/>
  <c r="D54" i="8"/>
  <c r="E17" i="5" s="1"/>
  <c r="E25" i="4" l="1"/>
  <c r="P5" i="2"/>
  <c r="K72" i="5"/>
  <c r="K94" i="5"/>
  <c r="K83" i="5"/>
  <c r="F90" i="2"/>
  <c r="F78" i="2"/>
  <c r="K19" i="6"/>
  <c r="L21" i="6"/>
  <c r="J93" i="5"/>
  <c r="J82" i="5"/>
  <c r="J71" i="5"/>
  <c r="C105" i="2"/>
  <c r="G88" i="5"/>
  <c r="G66" i="5"/>
  <c r="G77" i="5"/>
  <c r="E32" i="8"/>
  <c r="E28" i="8"/>
  <c r="E33" i="8" s="1"/>
  <c r="K20" i="6"/>
  <c r="L69" i="5"/>
  <c r="L91" i="5"/>
  <c r="L80" i="5"/>
  <c r="F84" i="5"/>
  <c r="F73" i="5"/>
  <c r="F95" i="5"/>
  <c r="I68" i="5"/>
  <c r="I79" i="5"/>
  <c r="I90" i="5"/>
  <c r="K47" i="5"/>
  <c r="H24" i="8"/>
  <c r="H22" i="8"/>
  <c r="G93" i="5"/>
  <c r="G71" i="5"/>
  <c r="G82" i="5"/>
  <c r="K18" i="6"/>
  <c r="D106" i="2"/>
  <c r="D72" i="5"/>
  <c r="H46" i="5"/>
  <c r="E24" i="8"/>
  <c r="E22" i="8"/>
  <c r="E23" i="8" s="1"/>
  <c r="L25" i="6"/>
  <c r="G25" i="4" s="1"/>
  <c r="L25" i="4" s="1"/>
  <c r="C33" i="4" s="1"/>
  <c r="E33" i="4" s="1"/>
  <c r="G33" i="4" s="1"/>
  <c r="M94" i="5"/>
  <c r="M83" i="5"/>
  <c r="M72" i="5"/>
  <c r="K77" i="5"/>
  <c r="K88" i="5"/>
  <c r="K66" i="5"/>
  <c r="N70" i="5"/>
  <c r="N81" i="5"/>
  <c r="N92" i="5"/>
  <c r="L17" i="6"/>
  <c r="F25" i="4" s="1"/>
  <c r="H73" i="5"/>
  <c r="H95" i="5"/>
  <c r="H84" i="5"/>
  <c r="K90" i="5"/>
  <c r="K68" i="5"/>
  <c r="K79" i="5"/>
  <c r="J83" i="5"/>
  <c r="J72" i="5"/>
  <c r="J94" i="5"/>
  <c r="C106" i="2"/>
  <c r="K16" i="6"/>
  <c r="L16" i="6"/>
  <c r="I93" i="5"/>
  <c r="I82" i="5"/>
  <c r="I71" i="5"/>
  <c r="L66" i="5"/>
  <c r="L77" i="5"/>
  <c r="L88" i="5"/>
  <c r="L29" i="5" s="1"/>
  <c r="F80" i="2"/>
  <c r="F92" i="2"/>
  <c r="L18" i="6"/>
  <c r="L24" i="6"/>
  <c r="H25" i="4" s="1"/>
  <c r="I95" i="5"/>
  <c r="I84" i="5"/>
  <c r="I73" i="5"/>
  <c r="L94" i="5"/>
  <c r="L72" i="5"/>
  <c r="L83" i="5"/>
  <c r="H77" i="5"/>
  <c r="H88" i="5"/>
  <c r="H66" i="5"/>
  <c r="D22" i="8"/>
  <c r="D23" i="8" s="1"/>
  <c r="D24" i="8"/>
  <c r="P94" i="5"/>
  <c r="P29" i="5" s="1"/>
  <c r="P83" i="5"/>
  <c r="P26" i="5" s="1"/>
  <c r="I24" i="4" s="1"/>
  <c r="M24" i="4" s="1"/>
  <c r="P72" i="5"/>
  <c r="P23" i="5" s="1"/>
  <c r="D24" i="4" s="1"/>
  <c r="F34" i="4"/>
  <c r="E34" i="4"/>
  <c r="H28" i="8"/>
  <c r="H32" i="8"/>
  <c r="F92" i="5"/>
  <c r="F81" i="5"/>
  <c r="F70" i="5"/>
  <c r="O19" i="5"/>
  <c r="O21" i="5"/>
  <c r="G82" i="2"/>
  <c r="M20" i="6"/>
  <c r="M16" i="6"/>
  <c r="M19" i="6"/>
  <c r="M18" i="6"/>
  <c r="M17" i="6"/>
  <c r="M21" i="6"/>
  <c r="M95" i="5"/>
  <c r="M84" i="5"/>
  <c r="M73" i="5"/>
  <c r="Q20" i="5"/>
  <c r="Q24" i="5"/>
  <c r="Q22" i="5"/>
  <c r="Q21" i="5"/>
  <c r="Q23" i="5"/>
  <c r="Q19" i="5"/>
  <c r="G32" i="8"/>
  <c r="G34" i="8" s="1"/>
  <c r="K45" i="5" s="1"/>
  <c r="G28" i="8"/>
  <c r="G22" i="8"/>
  <c r="G24" i="8"/>
  <c r="J45" i="5" s="1"/>
  <c r="N91" i="5"/>
  <c r="N69" i="5"/>
  <c r="N80" i="5"/>
  <c r="F80" i="5"/>
  <c r="F91" i="5"/>
  <c r="F69" i="5"/>
  <c r="H92" i="5"/>
  <c r="H81" i="5"/>
  <c r="H70" i="5"/>
  <c r="J95" i="5"/>
  <c r="J73" i="5"/>
  <c r="J84" i="5"/>
  <c r="C107" i="2"/>
  <c r="G81" i="5"/>
  <c r="G70" i="5"/>
  <c r="G92" i="5"/>
  <c r="P19" i="7"/>
  <c r="E14" i="5" s="1"/>
  <c r="F14" i="5"/>
  <c r="I14" i="5"/>
  <c r="G14" i="5"/>
  <c r="H14" i="5"/>
  <c r="N14" i="5"/>
  <c r="L70" i="5"/>
  <c r="L81" i="5"/>
  <c r="L92" i="5"/>
  <c r="G94" i="2"/>
  <c r="J37" i="4"/>
  <c r="I94" i="2" s="1"/>
  <c r="H73" i="2"/>
  <c r="D49" i="4"/>
  <c r="E49" i="4" s="1"/>
  <c r="K84" i="5"/>
  <c r="K95" i="5"/>
  <c r="K73" i="5"/>
  <c r="F33" i="8"/>
  <c r="O17" i="5"/>
  <c r="G92" i="2"/>
  <c r="D47" i="4"/>
  <c r="E47" i="4" s="1"/>
  <c r="C113" i="2" s="1"/>
  <c r="B58" i="2"/>
  <c r="H80" i="2"/>
  <c r="H5" i="2" s="1"/>
  <c r="J35" i="4"/>
  <c r="I92" i="2" s="1"/>
  <c r="H6" i="2" s="1"/>
  <c r="J89" i="5"/>
  <c r="J78" i="5"/>
  <c r="C101" i="2"/>
  <c r="J67" i="5"/>
  <c r="L20" i="6"/>
  <c r="D25" i="4" s="1"/>
  <c r="E93" i="2"/>
  <c r="E81" i="2"/>
  <c r="M25" i="6"/>
  <c r="M24" i="6"/>
  <c r="M23" i="6"/>
  <c r="N95" i="5"/>
  <c r="N84" i="5"/>
  <c r="N73" i="5"/>
  <c r="Q27" i="5"/>
  <c r="Q26" i="5"/>
  <c r="Q28" i="5"/>
  <c r="N66" i="5"/>
  <c r="N77" i="5"/>
  <c r="N88" i="5"/>
  <c r="F71" i="5"/>
  <c r="F93" i="5"/>
  <c r="F82" i="5"/>
  <c r="J68" i="5"/>
  <c r="J79" i="5"/>
  <c r="C102" i="2"/>
  <c r="J90" i="5"/>
  <c r="J88" i="5"/>
  <c r="J77" i="5"/>
  <c r="J66" i="5"/>
  <c r="C100" i="2"/>
  <c r="M89" i="5"/>
  <c r="M29" i="5" s="1"/>
  <c r="M67" i="5"/>
  <c r="M23" i="5" s="1"/>
  <c r="M78" i="5"/>
  <c r="M26" i="5" s="1"/>
  <c r="L46" i="5"/>
  <c r="F81" i="2"/>
  <c r="F93" i="2"/>
  <c r="O22" i="5"/>
  <c r="H47" i="5"/>
  <c r="D28" i="8"/>
  <c r="D33" i="8" s="1"/>
  <c r="D32" i="8"/>
  <c r="O20" i="5"/>
  <c r="M91" i="5"/>
  <c r="M69" i="5"/>
  <c r="M80" i="5"/>
  <c r="I88" i="5"/>
  <c r="I77" i="5"/>
  <c r="I66" i="5"/>
  <c r="O26" i="5"/>
  <c r="E80" i="2"/>
  <c r="E92" i="2"/>
  <c r="N90" i="5"/>
  <c r="N79" i="5"/>
  <c r="N68" i="5"/>
  <c r="L79" i="5"/>
  <c r="L68" i="5"/>
  <c r="L90" i="5"/>
  <c r="N17" i="5"/>
  <c r="H17" i="5"/>
  <c r="M17" i="5"/>
  <c r="K17" i="5"/>
  <c r="J17" i="5"/>
  <c r="L17" i="5"/>
  <c r="F17" i="5"/>
  <c r="G17" i="5"/>
  <c r="I17" i="5"/>
  <c r="L78" i="5"/>
  <c r="L89" i="5"/>
  <c r="L67" i="5"/>
  <c r="I34" i="8"/>
  <c r="G73" i="5"/>
  <c r="G95" i="5"/>
  <c r="G84" i="5"/>
  <c r="L95" i="5"/>
  <c r="L84" i="5"/>
  <c r="L73" i="5"/>
  <c r="Q29" i="5"/>
  <c r="G80" i="2" l="1"/>
  <c r="L19" i="5"/>
  <c r="L22" i="5"/>
  <c r="L24" i="5"/>
  <c r="L20" i="5"/>
  <c r="L21" i="5"/>
  <c r="L23" i="5"/>
  <c r="P19" i="5"/>
  <c r="I83" i="5"/>
  <c r="I27" i="5" s="1"/>
  <c r="I31" i="5" s="1"/>
  <c r="I72" i="5"/>
  <c r="I21" i="5" s="1"/>
  <c r="I94" i="5"/>
  <c r="J21" i="5"/>
  <c r="J22" i="5"/>
  <c r="F53" i="5"/>
  <c r="J19" i="5"/>
  <c r="F51" i="5"/>
  <c r="J24" i="5"/>
  <c r="J20" i="5"/>
  <c r="F22" i="4" s="1"/>
  <c r="F52" i="5"/>
  <c r="J23" i="5"/>
  <c r="D22" i="4" s="1"/>
  <c r="D12" i="4"/>
  <c r="G23" i="8"/>
  <c r="H45" i="5" s="1"/>
  <c r="M24" i="5"/>
  <c r="P17" i="5"/>
  <c r="G33" i="8"/>
  <c r="D14" i="4"/>
  <c r="C24" i="4" s="1"/>
  <c r="F32" i="4" s="1"/>
  <c r="M20" i="5"/>
  <c r="M27" i="5"/>
  <c r="M19" i="5"/>
  <c r="P24" i="5"/>
  <c r="E34" i="8"/>
  <c r="F34" i="8"/>
  <c r="P28" i="5"/>
  <c r="G24" i="4" s="1"/>
  <c r="L24" i="4" s="1"/>
  <c r="O31" i="5"/>
  <c r="O30" i="5"/>
  <c r="L27" i="5"/>
  <c r="L26" i="5"/>
  <c r="L28" i="5"/>
  <c r="P27" i="5"/>
  <c r="H24" i="4" s="1"/>
  <c r="M28" i="5"/>
  <c r="G28" i="5"/>
  <c r="J30" i="5"/>
  <c r="L6" i="2" s="1"/>
  <c r="C108" i="2"/>
  <c r="F56" i="5"/>
  <c r="E108" i="2"/>
  <c r="L5" i="2" s="1"/>
  <c r="P22" i="5"/>
  <c r="E24" i="4" s="1"/>
  <c r="P20" i="5"/>
  <c r="F24" i="4" s="1"/>
  <c r="B59" i="2"/>
  <c r="I33" i="4"/>
  <c r="E90" i="2"/>
  <c r="E78" i="2"/>
  <c r="G78" i="2" s="1"/>
  <c r="D13" i="4"/>
  <c r="C23" i="4" s="1"/>
  <c r="H23" i="8"/>
  <c r="I45" i="5" s="1"/>
  <c r="H34" i="8"/>
  <c r="L45" i="5" s="1"/>
  <c r="K29" i="5"/>
  <c r="I29" i="5"/>
  <c r="M31" i="5"/>
  <c r="M21" i="5"/>
  <c r="M22" i="5"/>
  <c r="M30" i="5" s="1"/>
  <c r="N94" i="5"/>
  <c r="N29" i="5" s="1"/>
  <c r="N83" i="5"/>
  <c r="N26" i="5" s="1"/>
  <c r="N72" i="5"/>
  <c r="N19" i="5" s="1"/>
  <c r="Q17" i="5"/>
  <c r="H33" i="8"/>
  <c r="K27" i="5"/>
  <c r="H23" i="4" s="1"/>
  <c r="K28" i="5"/>
  <c r="G23" i="4" s="1"/>
  <c r="L23" i="4" s="1"/>
  <c r="K26" i="5"/>
  <c r="I23" i="4" s="1"/>
  <c r="M23" i="4" s="1"/>
  <c r="F83" i="5"/>
  <c r="F72" i="5"/>
  <c r="F21" i="5" s="1"/>
  <c r="F94" i="5"/>
  <c r="F29" i="5" s="1"/>
  <c r="K22" i="5"/>
  <c r="E23" i="4" s="1"/>
  <c r="K23" i="5"/>
  <c r="D23" i="4" s="1"/>
  <c r="K21" i="5"/>
  <c r="K19" i="5"/>
  <c r="K24" i="5"/>
  <c r="K20" i="5"/>
  <c r="F23" i="4" s="1"/>
  <c r="H72" i="5"/>
  <c r="H21" i="5" s="1"/>
  <c r="H83" i="5"/>
  <c r="H27" i="5" s="1"/>
  <c r="H31" i="5" s="1"/>
  <c r="H94" i="5"/>
  <c r="H29" i="5" s="1"/>
  <c r="G34" i="4"/>
  <c r="C34" i="4"/>
  <c r="P21" i="5"/>
  <c r="J26" i="5"/>
  <c r="I22" i="4" s="1"/>
  <c r="M22" i="4" s="1"/>
  <c r="J27" i="5"/>
  <c r="H22" i="4" s="1"/>
  <c r="J28" i="5"/>
  <c r="G22" i="4" s="1"/>
  <c r="L22" i="4" s="1"/>
  <c r="H22" i="5"/>
  <c r="H30" i="5" s="1"/>
  <c r="H19" i="5"/>
  <c r="H23" i="5"/>
  <c r="J29" i="5"/>
  <c r="G24" i="5"/>
  <c r="G20" i="5"/>
  <c r="G81" i="2"/>
  <c r="L30" i="5"/>
  <c r="L31" i="5"/>
  <c r="I26" i="5"/>
  <c r="G94" i="5"/>
  <c r="G29" i="5" s="1"/>
  <c r="G83" i="5"/>
  <c r="G26" i="5" s="1"/>
  <c r="G72" i="5"/>
  <c r="G19" i="5" s="1"/>
  <c r="D34" i="4"/>
  <c r="H34" i="4"/>
  <c r="D32" i="4" l="1"/>
  <c r="H32" i="4"/>
  <c r="E91" i="2"/>
  <c r="E79" i="2"/>
  <c r="I34" i="4"/>
  <c r="L10" i="1"/>
  <c r="H28" i="5"/>
  <c r="P31" i="5"/>
  <c r="P30" i="5"/>
  <c r="D108" i="2"/>
  <c r="F54" i="5"/>
  <c r="F55" i="5" s="1"/>
  <c r="F28" i="5"/>
  <c r="F26" i="5"/>
  <c r="F27" i="5"/>
  <c r="F31" i="5" s="1"/>
  <c r="H26" i="5"/>
  <c r="F91" i="2"/>
  <c r="F79" i="2"/>
  <c r="I23" i="5"/>
  <c r="E32" i="4"/>
  <c r="G21" i="5"/>
  <c r="N21" i="5"/>
  <c r="I19" i="5"/>
  <c r="J31" i="5"/>
  <c r="K30" i="5"/>
  <c r="I22" i="5"/>
  <c r="I30" i="5" s="1"/>
  <c r="C22" i="4"/>
  <c r="D30" i="4" s="1"/>
  <c r="F30" i="4" s="1"/>
  <c r="H30" i="4" s="1"/>
  <c r="K36" i="4"/>
  <c r="K38" i="4"/>
  <c r="K37" i="4"/>
  <c r="K35" i="4"/>
  <c r="C31" i="4"/>
  <c r="E31" i="4" s="1"/>
  <c r="G31" i="4" s="1"/>
  <c r="C109" i="2"/>
  <c r="N5" i="2" s="1"/>
  <c r="E22" i="4"/>
  <c r="K31" i="5"/>
  <c r="D45" i="4"/>
  <c r="E45" i="4" s="1"/>
  <c r="K33" i="4"/>
  <c r="J33" i="4"/>
  <c r="I90" i="2" s="1"/>
  <c r="H78" i="2"/>
  <c r="D58" i="4"/>
  <c r="G90" i="2"/>
  <c r="I24" i="5"/>
  <c r="G22" i="5"/>
  <c r="G30" i="5" s="1"/>
  <c r="N23" i="5"/>
  <c r="Q31" i="5"/>
  <c r="Q30" i="5"/>
  <c r="G23" i="5"/>
  <c r="F22" i="5"/>
  <c r="F30" i="5" s="1"/>
  <c r="N28" i="5"/>
  <c r="N20" i="5"/>
  <c r="F24" i="5"/>
  <c r="N27" i="5"/>
  <c r="N31" i="5" s="1"/>
  <c r="H20" i="5"/>
  <c r="N24" i="5"/>
  <c r="I28" i="5"/>
  <c r="N22" i="5"/>
  <c r="N30" i="5" s="1"/>
  <c r="F23" i="5"/>
  <c r="G27" i="5"/>
  <c r="G31" i="5" s="1"/>
  <c r="D31" i="4"/>
  <c r="F31" i="4" s="1"/>
  <c r="H31" i="4" s="1"/>
  <c r="I20" i="5"/>
  <c r="F19" i="5"/>
  <c r="H24" i="5"/>
  <c r="F20" i="5"/>
  <c r="P6" i="2" l="1"/>
  <c r="F75" i="2"/>
  <c r="F87" i="2"/>
  <c r="C30" i="4"/>
  <c r="E30" i="4" s="1"/>
  <c r="G30" i="4" s="1"/>
  <c r="F76" i="2"/>
  <c r="F88" i="2"/>
  <c r="C32" i="4"/>
  <c r="G32" i="4"/>
  <c r="G79" i="2"/>
  <c r="F77" i="2"/>
  <c r="F89" i="2"/>
  <c r="D46" i="4"/>
  <c r="E46" i="4" s="1"/>
  <c r="G91" i="2"/>
  <c r="H79" i="2"/>
  <c r="J34" i="4"/>
  <c r="I91" i="2" s="1"/>
  <c r="K34" i="4"/>
  <c r="E76" i="2"/>
  <c r="E88" i="2"/>
  <c r="I31" i="4"/>
  <c r="E77" i="2" l="1"/>
  <c r="G77" i="2" s="1"/>
  <c r="E89" i="2"/>
  <c r="I32" i="4"/>
  <c r="J31" i="4"/>
  <c r="I88" i="2" s="1"/>
  <c r="D43" i="4"/>
  <c r="E43" i="4" s="1"/>
  <c r="C116" i="2" s="1"/>
  <c r="G88" i="2"/>
  <c r="H76" i="2"/>
  <c r="K31" i="4"/>
  <c r="G76" i="2"/>
  <c r="E87" i="2"/>
  <c r="E75" i="2"/>
  <c r="I30" i="4"/>
  <c r="G75" i="2"/>
  <c r="G87" i="2" l="1"/>
  <c r="D42" i="4"/>
  <c r="H75" i="2"/>
  <c r="K30" i="4"/>
  <c r="J30" i="4"/>
  <c r="I87" i="2" s="1"/>
  <c r="G89" i="2"/>
  <c r="J32" i="4"/>
  <c r="I89" i="2" s="1"/>
  <c r="H77" i="2"/>
  <c r="D44" i="4"/>
  <c r="E44" i="4" s="1"/>
  <c r="C117" i="2" s="1"/>
  <c r="K32" i="4"/>
  <c r="N6" i="2" l="1"/>
  <c r="E42" i="4"/>
  <c r="C115" i="2" s="1"/>
  <c r="D52" i="4"/>
  <c r="D54" i="4" l="1"/>
  <c r="G96" i="2"/>
  <c r="D53" i="4"/>
  <c r="H83" i="2"/>
  <c r="C118" i="2"/>
  <c r="F83" i="2"/>
  <c r="E83" i="2"/>
  <c r="F5" i="2"/>
  <c r="G83" i="2" l="1"/>
  <c r="I96" i="2"/>
  <c r="F6" i="2" s="1"/>
  <c r="D59" i="4"/>
  <c r="D57" i="4"/>
  <c r="D55" i="4"/>
  <c r="D56" i="4" s="1"/>
  <c r="B56" i="2" l="1"/>
</calcChain>
</file>

<file path=xl/sharedStrings.xml><?xml version="1.0" encoding="utf-8"?>
<sst xmlns="http://schemas.openxmlformats.org/spreadsheetml/2006/main" count="608" uniqueCount="451">
  <si>
    <t>Comparable Valuation Modeling</t>
  </si>
  <si>
    <t>CONFIDENTIAL</t>
  </si>
  <si>
    <t>Table of Contents</t>
  </si>
  <si>
    <t>Dashboard</t>
  </si>
  <si>
    <t>Blended weights ≠ 100%?</t>
  </si>
  <si>
    <t>Selected low &gt; high on any method?</t>
  </si>
  <si>
    <t>Valuation</t>
  </si>
  <si>
    <t>Include flags not 0/1 (peers &amp; deals)?</t>
  </si>
  <si>
    <t>Trading_Comps</t>
  </si>
  <si>
    <t>Fewer than 4 peers included?</t>
  </si>
  <si>
    <t>Precedent_Txns</t>
  </si>
  <si>
    <t>Any peer with EBITDA ≤ 0?</t>
  </si>
  <si>
    <t>Peer_Inputs</t>
  </si>
  <si>
    <t>DCF base value not tied to DCF Model sheet?</t>
  </si>
  <si>
    <t>Nestle_Inputs</t>
  </si>
  <si>
    <t>Range switches outside 1–3?</t>
  </si>
  <si>
    <t>Current price (CHF)</t>
  </si>
  <si>
    <t>Blended fair value (CHF)</t>
  </si>
  <si>
    <t>Methodology</t>
  </si>
  <si>
    <t>Low</t>
  </si>
  <si>
    <t>High</t>
  </si>
  <si>
    <t>Mid / Base</t>
  </si>
  <si>
    <t>Weight</t>
  </si>
  <si>
    <t>vs price</t>
  </si>
  <si>
    <t>Blended fair value</t>
  </si>
  <si>
    <t>Company</t>
  </si>
  <si>
    <t>EV/EBITDA 26E</t>
  </si>
  <si>
    <t>EBITDA mgn 26E</t>
  </si>
  <si>
    <t>Nestlé EV/EBITDA</t>
  </si>
  <si>
    <t>Nestlé</t>
  </si>
  <si>
    <t>Peer median</t>
  </si>
  <si>
    <t>Category</t>
  </si>
  <si>
    <t>52-Week Trading Range</t>
  </si>
  <si>
    <t>Market</t>
  </si>
  <si>
    <t>Analyst Price Targets</t>
  </si>
  <si>
    <t>Trading comps</t>
  </si>
  <si>
    <t>Precedents – EV/LTM EBITDA</t>
  </si>
  <si>
    <t>Precedents</t>
  </si>
  <si>
    <t>Precedents – Premiums Paid</t>
  </si>
  <si>
    <t>DCF – Perpetuity Growth</t>
  </si>
  <si>
    <t>DCF</t>
  </si>
  <si>
    <t>DCF – Exit Multiple</t>
  </si>
  <si>
    <t>Current Share Price</t>
  </si>
  <si>
    <t>Reference</t>
  </si>
  <si>
    <t>Blended Fair Value</t>
  </si>
  <si>
    <t>Current share price</t>
  </si>
  <si>
    <t>Unit</t>
  </si>
  <si>
    <t>Value</t>
  </si>
  <si>
    <t>CHF/sh</t>
  </si>
  <si>
    <t>Diluted shares</t>
  </si>
  <si>
    <t>mm</t>
  </si>
  <si>
    <t>EV → Equity adjustment</t>
  </si>
  <si>
    <t>Adj. EBITDA 2025A (LTM proxy)</t>
  </si>
  <si>
    <t>FY2025A adjusted EBITDA used as LTM (see Nestle_Inputs). Precedent multiples are on LTM EBITDA, so they must be applied to an LTM figure, not a forecast.</t>
  </si>
  <si>
    <t>Adj. EBITDA 2026E</t>
  </si>
  <si>
    <t>Adj. EBITDA 2027E</t>
  </si>
  <si>
    <t>Adj. net profit excl. associates 2026E</t>
  </si>
  <si>
    <t>L'Oréal stake at market</t>
  </si>
  <si>
    <t>switch</t>
  </si>
  <si>
    <t>Default = 2 (Tier 1 IQR): Danone, Unilever, PepsiCo and Mondelez are the only peers with Nestlé-like global scale, category breadth and EM exposure. Switch to 1 to use all 8 peers, or 3 to type your own low/high in the Manual columns below.</t>
  </si>
  <si>
    <t>Nestlé metric</t>
  </si>
  <si>
    <t>All: 25th</t>
  </si>
  <si>
    <t>All: Median</t>
  </si>
  <si>
    <t>All: 75th</t>
  </si>
  <si>
    <t>Subset: 25th</t>
  </si>
  <si>
    <t>Subset: Median</t>
  </si>
  <si>
    <t>Subset: 75th</t>
  </si>
  <si>
    <t>Manual low</t>
  </si>
  <si>
    <t>Manual high</t>
  </si>
  <si>
    <t>Selected low</t>
  </si>
  <si>
    <t>Selected high</t>
  </si>
  <si>
    <t>Trading comps – EV/EBITDA 2026E</t>
  </si>
  <si>
    <t>Subset columns = Tier 1 for trading comps, Large-cap for precedents. Manual defaults (blue) reflect a 'Nestlé premium' view: ~Tier 1 median to +1.5x, justified by scale and historic premium – use when you want to express a view rather than the pure statistics.</t>
  </si>
  <si>
    <t>Trading comps – EV/EBITDA 2027E</t>
  </si>
  <si>
    <t>Trading comps – P/E 2026E (ex-L'Oréal)</t>
  </si>
  <si>
    <t>P/E applied to Nestlé's adjusted net profit EXCLUDING associates; the L'Oréal stake is then added at market value (sum-of-the-parts) – avoids pricing L'Oréal earnings at a food multiple.</t>
  </si>
  <si>
    <t>Precedents – Premium paid (to current price)</t>
  </si>
  <si>
    <t>Premium applied to the current share price as the 'unaffected' price (no bid speculation in Nestlé's price today).</t>
  </si>
  <si>
    <t>EV low</t>
  </si>
  <si>
    <t>EV high</t>
  </si>
  <si>
    <t>Equity low</t>
  </si>
  <si>
    <t>Equity high</t>
  </si>
  <si>
    <t>Per share low</t>
  </si>
  <si>
    <t>Per share high</t>
  </si>
  <si>
    <t>Up / (down) vs price</t>
  </si>
  <si>
    <t>Implied EV/EBITDA 26E (mid)</t>
  </si>
  <si>
    <t>Basis</t>
  </si>
  <si>
    <t>Minority</t>
  </si>
  <si>
    <t>Mechanics: Implied EV = selected multiple x Nestlé metric -&gt; + EV/Equity adjustment (Nestle_Inputs) -&gt; / diluted shares. 'Mid / Base' = average of low &amp; high for multiples; = DCF base case for DCF rows (the DCF range is not symmetric).</t>
  </si>
  <si>
    <t>Control</t>
  </si>
  <si>
    <t>Control-basis values: include a takeover premium and buyer synergies -&gt; not directly comparable with the minority (trading) share price.</t>
  </si>
  <si>
    <t>Precedents – Premiums paid</t>
  </si>
  <si>
    <t>DCF – Perpetuity growth</t>
  </si>
  <si>
    <t>Intrinsic</t>
  </si>
  <si>
    <t>From the DCF model (full equity bridge). Low/High = WACC ±0.5% and g ±0.5% (perpetuity) / exit multiple ±0.5x.</t>
  </si>
  <si>
    <t>DCF – Exit multiple</t>
  </si>
  <si>
    <t>52-week trading range</t>
  </si>
  <si>
    <t>Market ref.</t>
  </si>
  <si>
    <t>Market references: not valuation methods, but they show where the market / sell-side currently is. Mid for 52-week = simple average; analyst mid = consensus mean target.</t>
  </si>
  <si>
    <t>Analyst price targets</t>
  </si>
  <si>
    <t>Mid / Base (CHF/sh)</t>
  </si>
  <si>
    <t>Contribution</t>
  </si>
  <si>
    <t>Blended fair value per share</t>
  </si>
  <si>
    <t>Blended fair value = weighted average of the mid/base values (weights normalised to 100%).</t>
  </si>
  <si>
    <t>Upside / (downside) vs current price</t>
  </si>
  <si>
    <t>Implied EV / adj. EBITDA 2026E</t>
  </si>
  <si>
    <t>Implied P/E 2026E (ex-L'Oréal)</t>
  </si>
  <si>
    <t>Control value reference (precedents EV/EBITDA mid)</t>
  </si>
  <si>
    <t>Valuation signal</t>
  </si>
  <si>
    <t>Signal thresholds ±15% – a typical buy-/sell-side materiality band for a low-volatility large-cap staple.</t>
  </si>
  <si>
    <t>Trading Comparables – Valuation Multiples &amp; Operating Benchmarking</t>
  </si>
  <si>
    <t>Tier</t>
  </si>
  <si>
    <t>Market cap (CHF mm)</t>
  </si>
  <si>
    <t>EV (CHF mm)</t>
  </si>
  <si>
    <t>EV / Sales</t>
  </si>
  <si>
    <t>EV / EBITDA</t>
  </si>
  <si>
    <t>EV / EBIT</t>
  </si>
  <si>
    <t>P / E</t>
  </si>
  <si>
    <t>2025A</t>
  </si>
  <si>
    <t>Nestlé (at market)</t>
  </si>
  <si>
    <t>–</t>
  </si>
  <si>
    <t>Nestlé EV/EBITDA uses ADJUSTED EBITDA (underlying) and an EV that excludes the L'Oréal stake (valued at market). Nestlé P/E is shown EX-L'Oréal: (market cap – L'Oréal stake) / adjusted net profit excl. associates – the like-for-like figure for the P/E method in Valuation.</t>
  </si>
  <si>
    <t>All peers – Maximum</t>
  </si>
  <si>
    <t>Statistics use Excel QUARTILE (inclusive). The interquartile range (25th–75th) is the default valuation range because it strips out the tails (e.g. Coca-Cola at ~23x EV/EBITDA) without discretionary exclusions. Mean shown for completeness but is distorted by outliers – rely on the median.</t>
  </si>
  <si>
    <t>All peers – 75th percentile</t>
  </si>
  <si>
    <t>All peers – Mean</t>
  </si>
  <si>
    <t>All peers – Median</t>
  </si>
  <si>
    <t>All peers – 25th percentile</t>
  </si>
  <si>
    <t>All peers – Minimum</t>
  </si>
  <si>
    <t>Tier 1 – 75th percentile</t>
  </si>
  <si>
    <t>Tier 1 statistics = the closest comparables (global scale, diversified portfolio, EM exposure). Valuation sheet lets you pick All-peer IQR, Tier 1 IQR or a manual range.</t>
  </si>
  <si>
    <t>Tier 1 – Median</t>
  </si>
  <si>
    <t>Tier 1 – 25th percentile</t>
  </si>
  <si>
    <t>Tier 2 – Median</t>
  </si>
  <si>
    <t>Nestlé premium / (discount) vs all-peer median</t>
  </si>
  <si>
    <t>Nestlé premium / (discount) vs Tier 1 median</t>
  </si>
  <si>
    <t>Operating benchmarking</t>
  </si>
  <si>
    <t>Benchmarking explains WHERE in the range Nestlé should sit: Nestlé is the largest by sales (~CHF 90bn), has an adjusted EBITDA margin around/above the peer median and moderate leverage, but its 2026E top-line growth (Base Case, CHF-reported, FX &amp; divestment drag) is below most peers. Net: supports a multiple at or modestly above the Tier 1 median, not the top of the range.</t>
  </si>
  <si>
    <t>Nestlé (Base Case)</t>
  </si>
  <si>
    <t>Nestlé growth is CHF-reported (strong-CHF translation drag ~3pts) while most peers report in USD/EUR – on an organic basis the gap is narrower. Nestlé's net debt/EBITDA uses adjusted 2025A EBITDA.</t>
  </si>
  <si>
    <t>Peer mean</t>
  </si>
  <si>
    <t>Slope</t>
  </si>
  <si>
    <t>A simple 'value vs quality' regression: do higher-margin peers command higher multiples? Read the R-squared before relying on it – with 8 peers one point (Coca-Cola: highest margin AND highest multiple) drives most of the fit. Toggle KO off in Peer_Inputs to see how fragile it is. Used as a sanity check only, not in the blended value.</t>
  </si>
  <si>
    <t>Intercept</t>
  </si>
  <si>
    <t>R-squared</t>
  </si>
  <si>
    <t>All included peers</t>
  </si>
  <si>
    <t>Tier 1 included peers</t>
  </si>
  <si>
    <t>Tier 2 included peers</t>
  </si>
  <si>
    <t>Precedent Transactions – Global Food, Beverage &amp; Consumer Staples (2023–2026)</t>
  </si>
  <si>
    <t>USD millions. LTM = last twelve months before announcement. Multiples are headline (pre-synergy) as disclosed by the parties.</t>
  </si>
  <si>
    <t>Announced</t>
  </si>
  <si>
    <t>Target</t>
  </si>
  <si>
    <t>Acquirer</t>
  </si>
  <si>
    <t>Target business</t>
  </si>
  <si>
    <t>Size class</t>
  </si>
  <si>
    <t>Deal type</t>
  </si>
  <si>
    <t>Enterprise value</t>
  </si>
  <si>
    <t>LTM sales</t>
  </si>
  <si>
    <t>LTM EBITDA</t>
  </si>
  <si>
    <t>EV / LTM Sales</t>
  </si>
  <si>
    <t>EV / LTM EBITDA</t>
  </si>
  <si>
    <t>EBITDA margin</t>
  </si>
  <si>
    <t>Premium paid</t>
  </si>
  <si>
    <t>Include (1/0)</t>
  </si>
  <si>
    <t>Notes / Source</t>
  </si>
  <si>
    <t>Unilever Foods (Knorr, Hellmann's)</t>
  </si>
  <si>
    <t>McCormick</t>
  </si>
  <si>
    <t>Cooking aids &amp; condiments</t>
  </si>
  <si>
    <t>Large-cap</t>
  </si>
  <si>
    <t>Carve-out / RMT</t>
  </si>
  <si>
    <t>n.a.</t>
  </si>
  <si>
    <t>EV USD 44.8bn = 3.6x sales / 13.8x FY2025 underlying EBITDA (~EUR 2.8bn) per Unilever &amp; McCormick releases (31-Mar-2026). Reverse Morris Trust: Unilever receives USD 15.7bn cash + 65% of combined equity. Sales/EBITDA backed out from the disclosed multiples. No premium (carve-out). Most relevant datapoint: a Nestlé-style global food portfolio.</t>
  </si>
  <si>
    <t>Kenvue</t>
  </si>
  <si>
    <t>Kimberly-Clark</t>
  </si>
  <si>
    <t>Consumer health (HPC)</t>
  </si>
  <si>
    <t>Public, cash+stock</t>
  </si>
  <si>
    <t>EV USD 48.7bn, ~14.3x LTM adj. EBITDA (8.8x incl. synergies); 46% premium to unaffected close. Adjacent staples category (not food) – keep for large-cap control benchmark.</t>
  </si>
  <si>
    <t>JDE Peet's</t>
  </si>
  <si>
    <t>Keurig Dr Pepper</t>
  </si>
  <si>
    <t>Coffee</t>
  </si>
  <si>
    <t>Public, cash</t>
  </si>
  <si>
    <t>EV ~USD 22.9bn at ~13.0x LTM EBITDA (EUR 31.85/sh cash). Coffee = Nestlé's largest category (Nescafé, Nespresso) -&gt; highly relevant. Premium ~33% vs 90-day VWAP (approx.).</t>
  </si>
  <si>
    <t>WK Kellogg Co</t>
  </si>
  <si>
    <t>Ferrero</t>
  </si>
  <si>
    <t>Breakfast cereal</t>
  </si>
  <si>
    <t>Mid-cap</t>
  </si>
  <si>
    <t>EV ~USD 3.1bn (USD 23/sh); ~10.7x LTM adj. EBITDA; ~40% premium to 30-day VWAP (31% to last close). Low-growth US cereal -&gt; low end of range.</t>
  </si>
  <si>
    <t>Kellanova</t>
  </si>
  <si>
    <t>Mars</t>
  </si>
  <si>
    <t>Snacks (Pringles, Cheez-It)</t>
  </si>
  <si>
    <t>EV USD 35.9bn (USD 83.50/sh) = ~16.4x LTM adj. EBITDA; 44% premium to 30-day VWAP. Closed Dec-2025 after EU review. Scarce global snacking asset -&gt; top of large-cap range.</t>
  </si>
  <si>
    <t>Hostess Brands</t>
  </si>
  <si>
    <t>J.M. Smucker</t>
  </si>
  <si>
    <t>Sweet baked goods</t>
  </si>
  <si>
    <t>EV USD 5.6bn (USD 34.25/sh) ~17.5x LTM adj. EBITDA pre-synergy; ~54% premium. Peak-cycle 2023 pricing; later impaired by Smucker -&gt; treat as high-end outlier.</t>
  </si>
  <si>
    <t>Sovos Brands (Rao's)</t>
  </si>
  <si>
    <t>Campbell Soup</t>
  </si>
  <si>
    <t>Premium sauces</t>
  </si>
  <si>
    <t>EV USD 2.7bn (USD 23/sh) ~17x LTM adj. EBITDA pre-synergy (high-growth premium brand); 28% premium.</t>
  </si>
  <si>
    <t>All deals – Maximum</t>
  </si>
  <si>
    <t>Precedent multiples embed a CONTROL PREMIUM (and often synergies the buyer expects), so they value Nestlé as if 100% were acquired. Read them as a 'takeout / control value' reference, not a fair trading value. Median EV/LTM EBITDA across the set ~14x vs peer trading median ~11x -&gt; the gap is effectively the control premium.</t>
  </si>
  <si>
    <t>All deals – 75th percentile</t>
  </si>
  <si>
    <t>All deals – Mean</t>
  </si>
  <si>
    <t>All deals – Median</t>
  </si>
  <si>
    <t>All deals – 25th percentile</t>
  </si>
  <si>
    <t>All deals – Minimum</t>
  </si>
  <si>
    <t>Large-cap – 75th percentile</t>
  </si>
  <si>
    <t>Large-cap (EV &gt; USD 20bn) subset is the more relevant benchmark for Nestlé's scale – smaller brand deals (Sovos, Hostess) carry scarcity/growth premia that do not transfer to a CHF ~220bn EV conglomerate.</t>
  </si>
  <si>
    <t>Large-cap – Median</t>
  </si>
  <si>
    <t>Large-cap – 25th percentile</t>
  </si>
  <si>
    <t>Reality check: with an EV of ~CHF 220bn Nestlé is effectively un-acquirable (it would be the largest food deal ever by &gt;4x). Precedents therefore get ZERO weight in the blended value (see Valuation) and are shown on the football field for context only. Sources: company press releases / merger proxies; Iconic 'CPG valuation multiples 2026' (Kellanova 16.4x, Kenvue 14.3x, JDE Peet's 13.02x). Figures approximate – verify vs. proxy statements.</t>
  </si>
  <si>
    <t>All included deals</t>
  </si>
  <si>
    <t>Large-cap included deals</t>
  </si>
  <si>
    <t>Peer Inputs – Market Data, Consensus Estimates &amp; Calendarisation</t>
  </si>
  <si>
    <t>FX table</t>
  </si>
  <si>
    <t>Code</t>
  </si>
  <si>
    <t>CHF per 1</t>
  </si>
  <si>
    <t>Swiss franc</t>
  </si>
  <si>
    <t>CHF</t>
  </si>
  <si>
    <t>FX rates identical to the DCF WACC peer table (USD/CHF 0.79, EUR/CHF 0.93) so all three models are consistent. FX only affects size columns (CHF market cap / EV); multiples are currency-neutral because EV and the metric are in the same currency.</t>
  </si>
  <si>
    <t>US dollar</t>
  </si>
  <si>
    <t>USD</t>
  </si>
  <si>
    <t>Euro</t>
  </si>
  <si>
    <t>EUR</t>
  </si>
  <si>
    <t>Ticker</t>
  </si>
  <si>
    <t>Ccy</t>
  </si>
  <si>
    <t>FYE</t>
  </si>
  <si>
    <t>Share price</t>
  </si>
  <si>
    <t>Diluted shares (mm)</t>
  </si>
  <si>
    <t>Market cap</t>
  </si>
  <si>
    <t>Net debt</t>
  </si>
  <si>
    <t>NCI &amp; other debt-like</t>
  </si>
  <si>
    <t>Less: equity investments</t>
  </si>
  <si>
    <t>FX to CHF</t>
  </si>
  <si>
    <t>Table A – Market data (local currency mm)</t>
  </si>
  <si>
    <t>Danone</t>
  </si>
  <si>
    <t>BN FP</t>
  </si>
  <si>
    <t>Dec</t>
  </si>
  <si>
    <t>Unilever</t>
  </si>
  <si>
    <t>ULVR LN</t>
  </si>
  <si>
    <t>PepsiCo</t>
  </si>
  <si>
    <t>PEP US</t>
  </si>
  <si>
    <t>Mondelez</t>
  </si>
  <si>
    <t>MDLZ US</t>
  </si>
  <si>
    <t>Coca-Cola</t>
  </si>
  <si>
    <t>KO US</t>
  </si>
  <si>
    <t>Hershey</t>
  </si>
  <si>
    <t>HSY US</t>
  </si>
  <si>
    <t>General Mills</t>
  </si>
  <si>
    <t>GIS US</t>
  </si>
  <si>
    <t>May</t>
  </si>
  <si>
    <t>Kraft Heinz</t>
  </si>
  <si>
    <t>KHC US</t>
  </si>
  <si>
    <t>Table B – Consensus financials, calendarised to December year-end (local currency mm; EPS per share)</t>
  </si>
  <si>
    <t>Sales</t>
  </si>
  <si>
    <t>Adj. EBITDA</t>
  </si>
  <si>
    <t>Adj. EBIT</t>
  </si>
  <si>
    <t>Adj. EPS</t>
  </si>
  <si>
    <t>CY2025A</t>
  </si>
  <si>
    <t>All figures on the companies' adjusted / underlying / 'core' basis (excl. restructuring, impairment, M&amp;A costs) – the same basis used for Nestlé (see Nestle_Inputs). 2025A = reported; 2026E-27E = approximate sell-side consensus (Sep-2026). Danone/Unilever report in EUR; others in USD.</t>
  </si>
  <si>
    <t>General Mills row links to Table C (calendarised) – do not overwrite.</t>
  </si>
  <si>
    <t>Table C – Calendarisation: General Mills (fiscal year ends last Sunday of May)</t>
  </si>
  <si>
    <t>Months of calendar year falling in the EARLIER fiscal year (Jan–May)</t>
  </si>
  <si>
    <t>Calendarisation: CY2026 = 5/12 x FY26 (Jun-25 to May-26) + 7/12 x FY27 (Jun-26 to May-27). Without it General Mills' '2026' multiple would mix a period ending May-26 with Dec-26 peers.</t>
  </si>
  <si>
    <t>Metric (USD mm)</t>
  </si>
  <si>
    <t>FY25A (May-25)</t>
  </si>
  <si>
    <t>FY26A (May-26)</t>
  </si>
  <si>
    <t>Net sales</t>
  </si>
  <si>
    <t>Adj. operating profit (EBIT)</t>
  </si>
  <si>
    <t>Adj. diluted EPS (USD)</t>
  </si>
  <si>
    <t xml:space="preserve">  Sales growth</t>
  </si>
  <si>
    <t>%</t>
  </si>
  <si>
    <t>Operating profit (reported EBIT)</t>
  </si>
  <si>
    <t>Depreciation &amp; amortisation</t>
  </si>
  <si>
    <t>EBITDA – reported (DCF basis)</t>
  </si>
  <si>
    <t>Other trading income</t>
  </si>
  <si>
    <t>Other trading expenses</t>
  </si>
  <si>
    <t>Other operating income</t>
  </si>
  <si>
    <t>Other operating expenses</t>
  </si>
  <si>
    <t>Nestlé's own KPI 'Underlying Trading Operating Profit' excludes these items. Peers' consensus EBITDA/EPS are ALSO on an adjusted/underlying basis, so Nestlé must be adjusted the same way – otherwise multiples are not like-for-like (reported 2025A EBITDA is CHF ~2.1bn lower).</t>
  </si>
  <si>
    <t>Calc: Operating profit – net non-underlying items. 2025A = 16.1% of sales, consistent with Nestlé's reported underlying TOP margin for FY2025.</t>
  </si>
  <si>
    <t>Adjusted EBITDA (comps basis)</t>
  </si>
  <si>
    <t>PRIMARY metric for EV/EBITDA comps and precedents. 2025A is used as the LTM figure (valuation date 30-Jun-2026; the model has no H1-2026 split). Swap in true LTM Jun-26 if H1 data are added.</t>
  </si>
  <si>
    <t xml:space="preserve">  Adj. EBITDA margin</t>
  </si>
  <si>
    <t xml:space="preserve">  Adj. EBIT margin</t>
  </si>
  <si>
    <t>Net profit attributable to parent (reported)</t>
  </si>
  <si>
    <t>Adjusted net profit</t>
  </si>
  <si>
    <t>Calc: Reported NI + non-underlying items net of tax (tax rate in the market-data block below). Approximates Nestlé's 'underlying EPS' definition.</t>
  </si>
  <si>
    <t>Income from associates &amp; JV (mainly L'Oréal)</t>
  </si>
  <si>
    <t>Adjusted net profit excl. associates</t>
  </si>
  <si>
    <t>Used for the P/E method: peers' P/E is applied to Nestlé's OWN operating earnings and the L'Oréal stake is added at market value separately (sum-of-the-parts). Applying a food-peer P/E (~15x) to L'Oréal earnings would undervalue a stake the market prices at ~30x.</t>
  </si>
  <si>
    <t>Reported EPS</t>
  </si>
  <si>
    <t>Adjusted EPS</t>
  </si>
  <si>
    <t>Adjusted EPS incl. associates – shown for reference (headline consensus basis).</t>
  </si>
  <si>
    <t>Adjusted EPS excl. associates</t>
  </si>
  <si>
    <t xml:space="preserve">  Adjusted EPS growth</t>
  </si>
  <si>
    <t>Market data &amp; EV bridge</t>
  </si>
  <si>
    <t>Diluted shares outstanding</t>
  </si>
  <si>
    <t>Market capitalisation</t>
  </si>
  <si>
    <t>Net financial debt (30-Jun-2026)</t>
  </si>
  <si>
    <t>Non-controlling interests</t>
  </si>
  <si>
    <t>Net pension deficit (debt-like)</t>
  </si>
  <si>
    <t>Nestlé stake in L'Oréal</t>
  </si>
  <si>
    <t>L'Oréal market capitalisation</t>
  </si>
  <si>
    <t>EUR mm</t>
  </si>
  <si>
    <t>EUR/CHF</t>
  </si>
  <si>
    <t>rate</t>
  </si>
  <si>
    <t>Holding discount applied to L'Oréal stake</t>
  </si>
  <si>
    <t>Associates at market value (L'Oréal stake)</t>
  </si>
  <si>
    <t>Associates income sits BELOW EBIT, so it is excluded from EBITDA; the stake must therefore be deducted from EV (and added back to equity) to keep numerator and denominator consistent.</t>
  </si>
  <si>
    <t>EV → Equity adjustment (– debt – NCI – pension + associates)</t>
  </si>
  <si>
    <t>Enterprise value at market (comps basis)</t>
  </si>
  <si>
    <t>Nestlé EV on the SAME definition applied to the peers (market cap + net debt + NCI + debt-like items – equity investments).</t>
  </si>
  <si>
    <t>Tax rate applied to non-underlying items</t>
  </si>
  <si>
    <t>52-week low</t>
  </si>
  <si>
    <t>52-week high</t>
  </si>
  <si>
    <t>Analyst target price – low</t>
  </si>
  <si>
    <t>Analyst target price – high</t>
  </si>
  <si>
    <t>Base</t>
  </si>
  <si>
    <t>Enterprise value – Perpetuity growth method</t>
  </si>
  <si>
    <t>Enterprise value – Exit multiple method</t>
  </si>
  <si>
    <t>WACC (base)</t>
  </si>
  <si>
    <t>Terminal growth (base)</t>
  </si>
  <si>
    <t>Terminal EV/EBITDA multiple (base)</t>
  </si>
  <si>
    <t>All figures in CHF millions unless stated</t>
  </si>
  <si>
    <t>Model Running: Base Case Drivers</t>
  </si>
  <si>
    <t>Net non-underlying items</t>
  </si>
  <si>
    <t>Adjusted EBIT</t>
  </si>
  <si>
    <t xml:space="preserve"> </t>
  </si>
  <si>
    <t>Income Statement Bridge</t>
  </si>
  <si>
    <t>DCF Outputs</t>
  </si>
  <si>
    <t>Check: base per-share value (perpetuity) vs DCF Model</t>
  </si>
  <si>
    <t>Curr</t>
  </si>
  <si>
    <t>Include in stats</t>
  </si>
  <si>
    <t>FY27F (May-27)</t>
  </si>
  <si>
    <t>CY2026F</t>
  </si>
  <si>
    <t>CY2027F</t>
  </si>
  <si>
    <t>FY28F (May-28)</t>
  </si>
  <si>
    <t>Helper (feeds statistics)</t>
  </si>
  <si>
    <t>2026F</t>
  </si>
  <si>
    <t>2027F</t>
  </si>
  <si>
    <t>Sales 2026F (CHF mm)</t>
  </si>
  <si>
    <t>Sales Growth</t>
  </si>
  <si>
    <t>EBITDA Margin</t>
  </si>
  <si>
    <t>EPS Growth</t>
  </si>
  <si>
    <t>EBIT Margin</t>
  </si>
  <si>
    <t>Net debt / EBITDA 2025A</t>
  </si>
  <si>
    <t>Regression cross-check: EV/EBITDA 2026F (y) vs Adj. EBITDA margin 2026F (x) – included peers</t>
  </si>
  <si>
    <t>Nestlé adj. EBITDA margin 2026F</t>
  </si>
  <si>
    <t>Regression-implied Nestlé EV/EBITDA 2026F</t>
  </si>
  <si>
    <t>Nestlé actual EV/EBITDA 2026F (at market)</t>
  </si>
  <si>
    <t>Helper (feeds statistics above)</t>
  </si>
  <si>
    <t>Key inputs</t>
  </si>
  <si>
    <t>EBITDA margin 26E</t>
  </si>
  <si>
    <t>Multiple range selection</t>
  </si>
  <si>
    <t>Implied valuation</t>
  </si>
  <si>
    <t>Total weight</t>
  </si>
  <si>
    <t>Trading comps range basis</t>
  </si>
  <si>
    <t>Precedents range basis</t>
  </si>
  <si>
    <t>Blended valuation (fair value, minority basis)</t>
  </si>
  <si>
    <t>Weights are a judgement call. Default: DCF 50% (35% perpetuity + 15% exit – intrinsic, reflects our explicit 2026-30 plan), trading comps 50% (market cross-check). Precedents &amp; premiums = 0% because they are CONTROL values and a takeover of Nestlé is not a realistic scenario; 52-week &amp; analyst targets = 0% because they are market references, not methods. Change weights freely – the total must equal 100% (see Cover check).</t>
  </si>
  <si>
    <t>Valuation – Implied Nestle Value per Share by Methodology</t>
  </si>
  <si>
    <t>Delta</t>
  </si>
  <si>
    <t>Valuation Summary</t>
  </si>
  <si>
    <t>Key Takeaways</t>
  </si>
  <si>
    <t>Quality vs Value</t>
  </si>
  <si>
    <t>Chart Data</t>
  </si>
  <si>
    <t>DCF Base Value (CHF)</t>
  </si>
  <si>
    <t>Analyst Mean target (CHF)</t>
  </si>
  <si>
    <t>Nestlé EV/EBITDA 26F</t>
  </si>
  <si>
    <t>Peer median EV/EBITDA 26F</t>
  </si>
  <si>
    <t>Trading comps – EV/EBITDA 2026F</t>
  </si>
  <si>
    <t>Trading comps – EV/EBITDA 2027F</t>
  </si>
  <si>
    <t>Trading Comps – EV/EBITDA 2026F</t>
  </si>
  <si>
    <t>Trading Comps – EV/EBITDA 2027F</t>
  </si>
  <si>
    <t>Trading Comps – P/E 2026F</t>
  </si>
  <si>
    <t>Trading comps – P/E 2026F</t>
  </si>
  <si>
    <t>EV / Adj. EBITDA 2026F – Nestlé vs peers</t>
  </si>
  <si>
    <t>Precedent median (All Deals)</t>
  </si>
  <si>
    <t>DCF Exit Multiple (CHF)</t>
  </si>
  <si>
    <t>Fair Value Bridge</t>
  </si>
  <si>
    <t>DCF –
 Perpetuity</t>
  </si>
  <si>
    <t>DCF –
 Exit multiple</t>
  </si>
  <si>
    <t>Comps –
 EV/EBITDA 26F</t>
  </si>
  <si>
    <t>Comps –
 EV/EBITDA 27F</t>
  </si>
  <si>
    <t>Comps –
 P/E 26F</t>
  </si>
  <si>
    <t>Blended 
fair value</t>
  </si>
  <si>
    <t>Current 
price</t>
  </si>
  <si>
    <t>Model Checks</t>
  </si>
  <si>
    <t>Basis of Assumption / Source</t>
  </si>
  <si>
    <t>Implied equity value</t>
  </si>
  <si>
    <t>Implied enterprise value</t>
  </si>
  <si>
    <t>Model Guide</t>
  </si>
  <si>
    <t>Adjustable Input</t>
  </si>
  <si>
    <t>(Grey Cell)</t>
  </si>
  <si>
    <t>Hardcode</t>
  </si>
  <si>
    <t>(Blue Font)</t>
  </si>
  <si>
    <t>Formula</t>
  </si>
  <si>
    <t>(Black Font)</t>
  </si>
  <si>
    <t>Base Case | Pricing 1-Oct-2026 | Valuation date 30-Jun-2026 | CHF</t>
  </si>
  <si>
    <t>Default = 2 (Large-cap deals only, EV &gt; USD 20bn): closest to Nestlé's scale; small brand deals (Sovos, Hostess) carry scarcity/growth premia that do not transfer. Switch to 1 for all 7 deals or 3 for the manual range.</t>
  </si>
  <si>
    <t>At 1-Oct-2026 prices Nestlé trades broadly in line with the all-peer median and slightly BELOW the Tier 1 median on EV/EBITDA and P/E. Its historical premium (scale, pricing power, #1 positions in coffee, pet care and infant nutrition, lower earnings volatility) has largely been priced out after the 2025-26 restructuring, CEO change and soft volumes. The key judgment: whether the 'Fuel for Growth' margin recovery justifies re-establishing part of that premium (DCF view) or not (pure comps view).</t>
  </si>
  <si>
    <t>Pricing date: 1-Oct-2026 (same as Nestlé and the DCF Model).</t>
  </si>
  <si>
    <t>Tier 1 = global, diversified food &amp; beverage/HPC leaders with Nestlé-like scale, brand breadth and EM exposure (Danone, Unilever, PepsiCo, Mondelez). Tier 2 = category specialists / US-centric packaged food (Coca-Cola, Hershey, General Mills, Kraft Heinz). Peer set = DCF WACC peers + 3 US packaged-food names to widen the sample. Danone EUR 57.55 (1-Oct-2026 close; down from EUR 60.7 on 23-Sep).</t>
  </si>
  <si>
    <t>Unilever: LSE close 4,494p on 1-Oct-2026 converted at c.1.15 EUR/GBP = EUR 51.68; 2,190m shares in issue after the 2026 buyback (market cap c.GBP 98bn / EUR 113bn). NCI shown at a MARKET-value proxy (~EUR 18bn = 38% minority in listed Hindustan Unilever) rather than book (~EUR 2.6bn): EBITDA consolidates 100% of HUL, so EV must carry the minority at market. Financials = continuing ops (ex-ice cream, demerged Dec-2025) incl. Foods, being combined with McCormick (announced 31-Mar-2026, not yet closed).</t>
  </si>
  <si>
    <t>PepsiCo: close USD 125.60 on 1-Oct-2026 (52-week low; two broker downgrades in Sep-2026 on the North America turnaround). Core (non-GAAP) EBITDA/EPS consensus.</t>
  </si>
  <si>
    <t>Mondelez: close USD 57.76 on 1-Oct-2026 x 1,276m shares (market cap c.USD 74bn). Corrects the previous USD 45.10 input, which sat below the 52-week range (USD 51.20–66.65) and understated Mondelez's multiples by c.2x EBITDA. Cocoa-cost squeeze depresses 2025-26 margins.</t>
  </si>
  <si>
    <t>Coca-Cola: close USD 86.10 on 1-Oct-2026. Large equity-method stakes (bottlers, Monster etc.) deducted at book ~USD 19.5bn – market value is materially higher, so KO's EV/EBITDA is if anything understated. Structurally premium multiple (asset-light concentrate model, ~33% EBITDA margin): statistical outlier – toggle Q to 0 to test sensitivity.</t>
  </si>
  <si>
    <t>Hershey: close USD 159.30 on 1-Oct-2026; c.201m shares. 2026E rebound reflects cocoa-cost normalisation.</t>
  </si>
  <si>
    <t>General Mills: close USD 31.67 on 1-Oct-2026 (–22% in Sep-2026 after the Q1-FY27 print and CEO transition). Fiscal year ends late May -&gt; financials CALENDARISED in Table C below (Table B links to it). CPW (Cereal Partners Worldwide) is a 50/50 JV with Nestlé.</t>
  </si>
  <si>
    <t>Kraft Heinz: latest close c.USD 22.2 (1–2 Oct-2026); planned separation paused Feb-2026; reduced 2026 outlook after soft Q2-2026.</t>
  </si>
  <si>
    <t>IMPORTANT: peer prices refreshed to 1-Oct-2026 closes; consensus estimates are approximate public-source figures (company reports, press, Yahoo/MarketScreener) as of Sep-2026. Refresh blue cells from Bloomberg / CapIQ / FactSet before external use. Net debt = latest reported gross financial debt incl. leases less cash &amp; ST investments (approx.). Q column (yellow) = switch to exclude a peer from all statistics.</t>
  </si>
  <si>
    <t>FY25A-FY26A reported (adjusted); FY27E adjusted EPS USD 3.07 = consensus within the reaffirmed USD 3.00–3.20 guidance (23-Sep-2026, Q1-FY27 print: flat organic sales, lower profit on divestitures &amp; inflation); FY28E = modest recovery consensus. Approximate – refresh before external use.</t>
  </si>
  <si>
    <t>3-Statement Model (final, Base Case), Model sheet row 255 – identical in the DCF Model (row 440). 2023A–25A reported; 2026F–28F forecast.</t>
  </si>
  <si>
    <t>3-Statement Model row 267 / DCF Model row 452 (Base Case). Reported operating profit, i.e. after restructuring and other non-underlying items.</t>
  </si>
  <si>
    <t>3-Statement Model row 87 (combined D&amp;A rate on opening PP&amp;E + intangibles). 2027F–28F updated to the final model (CHF 3,487m / 3,523m), which now includes intangible capex in the asset base.</t>
  </si>
  <si>
    <t>3-Statement Model rows 261, 262, 265 and 266 (Base Case) – identical in the DCF Model.</t>
  </si>
  <si>
    <t>As row 15 (3-Statement Model, Base Case).</t>
  </si>
  <si>
    <t>3-Statement Model row 278 (final). Higher than the previous DCF version because the interest rate on debt was reset to 2.9% (FY2025 actual cost) and the revolver/minimum-cash logic was added; 2026F CHF 9,249m.</t>
  </si>
  <si>
    <t>3-Statement Model row 274: income from associates &amp; JV grows 3–5% a year in the Base Case (mainly L'Oréal).</t>
  </si>
  <si>
    <t>Links to diluted shares in the market-data block (2,573m, H1-2026 weighted average; DCF Input F207). Held flat – no buyback accretion assumed for multiples (the Base Case buyback only starts in 2030).</t>
  </si>
  <si>
    <t>Share price (SIX close, 1-Oct-2026)</t>
  </si>
  <si>
    <t>SIX close CHF 74.63 on 1-Oct-2026 – the same pricing date as the DCF Model (Input F208) and the peer set, so all three models share one pricing date.</t>
  </si>
  <si>
    <t>DCF Model Input F207 (weighted average shares outstanding H1-2026; issued 2,576.5m less treasury shares; no material dilutive instruments).</t>
  </si>
  <si>
    <t>DCF Model Input N196: net financial debt CHF 56.3bn at 30-Jun-2026 (Nestlé H1-2026 results).</t>
  </si>
  <si>
    <t>DCF Model Input N197 (FY2025 book value; immaterial).</t>
  </si>
  <si>
    <t>DCF Model Input N199: employee benefit liabilities CHF 2,299m less assets CHF 1,412m (FY2025 balance sheet), treated as debt-like.</t>
  </si>
  <si>
    <t>DCF Model Input N207–N211. L'Oréal is listed, so the 20.1% stake is valued at market (same treatment as the DCF Model).</t>
  </si>
  <si>
    <t>EUR 371.75 closing price on 1-Oct-2026 x c.533.8m shares = EUR 198.4bn (DCF Input N208).</t>
  </si>
  <si>
    <t>Spot EUR/CHF, early Oct-2026 (DCF Input N209).</t>
  </si>
  <si>
    <t>No holding discount (Swiss participation exemption limits tax leakage on a disposal) – same as DCF Input N210.</t>
  </si>
  <si>
    <t>Single bridge used for every method: Equity value = Enterprise value + this adjustment. Identical to the DCF Model equity bridge (Model sheet rows 277–282 and Output O15).</t>
  </si>
  <si>
    <t>DCF Model Input M173: effective tax rate 23.5% (between the underlying 22.1–22.3% and reported 24.6% rates, incl. Pillar Two).</t>
  </si>
  <si>
    <t>52-week range CHF 70.29–87.09 (SIX; high reached 22-Jul-2026). Source: Yahoo Finance / Investing.com, 1-Oct-2026.</t>
  </si>
  <si>
    <t>Sell-side consensus per Yahoo Finance, 1-Oct-2026: mean CHF 88.23, low CHF 69, high CHF 100 (MarketScreener / Investing.com show a similar c.CHF 88 mean).</t>
  </si>
  <si>
    <t>Analyst target price – mean (consensus)</t>
  </si>
  <si>
    <t>Source: final DCF Model, Output sheet EV sensitivity (rows 25–29). Base = E16 (Model G277, XNPV); Low = WACC 5.59% / g 1.0% (E28); High = WACC 4.59% / g 2.0% (G26), i.e. WACC ±0.5% and g ±0.5% around the base – the standard football-field band.</t>
  </si>
  <si>
    <t>Source: final DCF Model, Output sheet rows 69–73. Base = E60 (Model G320); Low = WACC 5.59% / 13.0x (E72); High = WACC 4.59% / 14.0x (G70): WACC ±0.5% and exit multiple ±0.5x.</t>
  </si>
  <si>
    <t>DCF Model Input N257: WACC 5.09% (CHF). Lower than the previous 5.21% because the pre-tax cost of debt now links to the 3-statement interest rate (2.9%); includes the corrected Mondelez market cap in the peer beta table.</t>
  </si>
  <si>
    <t>DCF Model Input F209 (= Base Case Term sales growth, 1.5% in CHF).</t>
  </si>
  <si>
    <t>DCF Model Input F210.</t>
  </si>
  <si>
    <t>Reconciliation: base per-share value (perpetuity) vs the DCF Model (Model M279 = Output G16 = CHF 97.39). Both the DCF Output dashboard and this model now use the same full equity bridge (net debt, NCI, pension, L'Oréal at market). Flag = 0 means tied.</t>
  </si>
  <si>
    <r>
      <t>DISCLAIMER &amp; NOTICE OF INTENT</t>
    </r>
    <r>
      <rPr>
        <sz val="11"/>
        <color rgb="FF000000"/>
        <rFont val="Calibri"/>
        <family val="2"/>
        <scheme val="minor"/>
      </rPr>
      <t xml:space="preserve"> </t>
    </r>
  </si>
  <si>
    <t>1. Independent Portfolio Project: This financial model and dashboard were prepared solely by the author, in a personal capacity, to demonstrate</t>
  </si>
  <si>
    <t>skills in financial modeling and financial statement analysis. They do not reflect the views of any employer.</t>
  </si>
  <si>
    <t>2. Public Data Sources: Historical figures are drawn from publicly available sources (Nestlé Investor Relations / Annual Reports). Forecasts and</t>
  </si>
  <si>
    <t>scenarios (Best / Base / Worst) are the author's own illustrative assumptions, not forecasts issued by Nestlé.</t>
  </si>
  <si>
    <t>3. No Affiliation: This project is not affiliated with, authorized by, or endorsed by Nestlé S.A. Nestlé and related names and marks are the</t>
  </si>
  <si>
    <t>property of their respective owners and are used for identification only.</t>
  </si>
  <si>
    <t>4. No Advice: Nothing herein constitutes investment advice, equity research, or a recommendation to buy or sell any security.</t>
  </si>
  <si>
    <t>5. Watch-points: Russia placed Nestlé Russia under temporary external administration (17-Sep-2026; c.1% of group sales, potential write-off c.CHF 1bn per analysts); peer prices refreshed to 1-Oct-2026 and peer consensus is approximate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</si>
</sst>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(* #,##0.00_);_(* \(#,##0.00\);_(* &quot;-&quot;??_);_(@_)"/>
    <numFmt numFmtId="164" formatCode="#,##0.00_);\(#,##0.00\);\–_)"/>
    <numFmt numFmtId="165" formatCode="0.0%_);\(0.0%\);\–_)"/>
    <numFmt numFmtId="166" formatCode="0.0\x_);\(0.0&quot;x)&quot;;\–_)"/>
    <numFmt numFmtId="167" formatCode="#,##0_);\(#,##0\);\–_)"/>
    <numFmt numFmtId="168" formatCode="mmm\-yy"/>
    <numFmt numFmtId="169" formatCode="_(#,##0_)_%;\(#,##0\)_%;_(&quot;–&quot;_)_%;_(@_)_%"/>
    <numFmt numFmtId="170" formatCode="_-* #,##0_-;\(#,##0\)_-;_-* \-_-;_-@_-"/>
    <numFmt numFmtId="171" formatCode="0&quot;A&quot;"/>
    <numFmt numFmtId="172" formatCode="0&quot;F&quot;"/>
    <numFmt numFmtId="173" formatCode="[=0]&quot;✖️&quot;_);[=1]\☑_);General"/>
    <numFmt numFmtId="174" formatCode="#,##0;\(#,##0\);\-"/>
    <numFmt numFmtId="175" formatCode="0\A"/>
    <numFmt numFmtId="176" formatCode="0\F"/>
    <numFmt numFmtId="177" formatCode="#,##0.00;\(#,##0.00\);\-"/>
    <numFmt numFmtId="178" formatCode="0.0&quot;x&quot;"/>
    <numFmt numFmtId="179" formatCode="[=1]&quot;Yes&quot;_);[=0]&quot;No&quot;_);General"/>
    <numFmt numFmtId="180" formatCode="&quot;All IQR&quot;"/>
    <numFmt numFmtId="181" formatCode="&quot;Tier 1&quot;"/>
    <numFmt numFmtId="182" formatCode="&quot;Manual&quot;"/>
    <numFmt numFmtId="183" formatCode="&quot;Large-Cap&quot;"/>
    <numFmt numFmtId="184" formatCode="[=1]&quot;All IQR&quot;_);[=2]&quot;Tier 1&quot;_);&quot;Manual&quot;"/>
    <numFmt numFmtId="185" formatCode="[=1]&quot;All IQR&quot;_);[=2]&quot;Large-Cap&quot;_);&quot;Manual&quot;"/>
    <numFmt numFmtId="186" formatCode="[=1]&quot;On&quot;;[=0]&quot;Off&quot;;General"/>
  </numFmts>
  <fonts count="7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63513D"/>
      <name val="Segoe UI"/>
      <family val="2"/>
    </font>
    <font>
      <b/>
      <sz val="10"/>
      <color rgb="FF000000"/>
      <name val="Segoe UI"/>
      <family val="2"/>
    </font>
    <font>
      <sz val="9"/>
      <color rgb="FF7F7F7F"/>
      <name val="Segoe UI"/>
      <family val="2"/>
    </font>
    <font>
      <sz val="10"/>
      <color rgb="FF000000"/>
      <name val="Segoe UI"/>
      <family val="2"/>
    </font>
    <font>
      <i/>
      <sz val="9"/>
      <color rgb="FF7F7F7F"/>
      <name val="Segoe UI"/>
      <family val="2"/>
    </font>
    <font>
      <sz val="10"/>
      <color rgb="FF008000"/>
      <name val="Segoe UI"/>
      <family val="2"/>
    </font>
    <font>
      <b/>
      <sz val="9"/>
      <color rgb="FF63513D"/>
      <name val="Segoe UI"/>
      <family val="2"/>
    </font>
    <font>
      <sz val="8"/>
      <color rgb="FF595959"/>
      <name val="Segoe UI"/>
      <family val="2"/>
    </font>
    <font>
      <b/>
      <sz val="10"/>
      <color rgb="FF63513D"/>
      <name val="Segoe UI"/>
      <family val="2"/>
    </font>
    <font>
      <sz val="10"/>
      <color rgb="FF3271D2"/>
      <name val="Segoe UI"/>
      <family val="2"/>
    </font>
    <font>
      <i/>
      <sz val="10"/>
      <color rgb="FF000000"/>
      <name val="Segoe UI"/>
      <family val="2"/>
    </font>
    <font>
      <b/>
      <sz val="11"/>
      <color rgb="FF63513D"/>
      <name val="Segoe UI"/>
      <family val="2"/>
    </font>
    <font>
      <sz val="11"/>
      <color theme="1"/>
      <name val="Segoe UI"/>
      <family val="2"/>
    </font>
    <font>
      <i/>
      <sz val="9"/>
      <color rgb="FF7F7F7F"/>
      <name val="Segoe UI"/>
      <family val="2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sz val="11"/>
      <color rgb="FF3271D2"/>
      <name val="Segoe UI"/>
      <family val="2"/>
    </font>
    <font>
      <i/>
      <sz val="11"/>
      <color rgb="FF000000"/>
      <name val="Segoe UI"/>
      <family val="2"/>
    </font>
    <font>
      <b/>
      <sz val="11"/>
      <color rgb="FF000000"/>
      <name val="Segoe UI"/>
      <family val="2"/>
    </font>
    <font>
      <i/>
      <sz val="9"/>
      <color rgb="FF000000"/>
      <name val="Segoe UI"/>
      <family val="2"/>
    </font>
    <font>
      <i/>
      <sz val="10"/>
      <color theme="1"/>
      <name val="Segoe UI"/>
      <family val="2"/>
    </font>
    <font>
      <i/>
      <sz val="9"/>
      <color theme="1"/>
      <name val="Segoe UI"/>
      <family val="2"/>
    </font>
    <font>
      <b/>
      <sz val="11"/>
      <color theme="1"/>
      <name val="Segoe UI"/>
      <family val="2"/>
    </font>
    <font>
      <sz val="9"/>
      <color rgb="FF59595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charset val="1"/>
    </font>
    <font>
      <b/>
      <sz val="9"/>
      <color rgb="FF63513D"/>
      <name val="Segoe UI"/>
      <family val="2"/>
    </font>
    <font>
      <b/>
      <sz val="11"/>
      <color theme="1"/>
      <name val="Calibri"/>
      <family val="2"/>
      <charset val="1"/>
    </font>
    <font>
      <b/>
      <sz val="9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9"/>
      <name val="Segoe UI"/>
      <family val="2"/>
    </font>
    <font>
      <b/>
      <sz val="11"/>
      <color theme="1"/>
      <name val="Calibri"/>
      <family val="2"/>
    </font>
    <font>
      <b/>
      <sz val="10"/>
      <color rgb="FF63513D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sz val="9"/>
      <color rgb="FF7F7F7F"/>
      <name val="Segoe UI"/>
      <family val="2"/>
    </font>
    <font>
      <sz val="8"/>
      <color rgb="FF595959"/>
      <name val="Segoe UI"/>
      <family val="2"/>
    </font>
    <font>
      <sz val="10"/>
      <color rgb="FF3271D2"/>
      <name val="Segoe UI"/>
      <family val="2"/>
    </font>
    <font>
      <b/>
      <sz val="10"/>
      <color rgb="FF008000"/>
      <name val="Segoe UI"/>
      <family val="2"/>
    </font>
    <font>
      <b/>
      <sz val="10"/>
      <color rgb="FFC00000"/>
      <name val="Segoe UI"/>
      <family val="2"/>
    </font>
    <font>
      <b/>
      <sz val="16"/>
      <color rgb="FF63513D"/>
      <name val="Segoe U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b/>
      <sz val="9"/>
      <color rgb="FF7F7F7F"/>
      <name val="Segoe UI"/>
      <family val="2"/>
    </font>
    <font>
      <b/>
      <sz val="9"/>
      <color theme="2" tint="-0.499984740745262"/>
      <name val="Segoe UI"/>
      <family val="2"/>
    </font>
    <font>
      <sz val="8"/>
      <color rgb="FF7F7F7F"/>
      <name val="Segoe UI"/>
      <family val="2"/>
    </font>
    <font>
      <b/>
      <sz val="10"/>
      <name val="Segoe UI"/>
      <family val="2"/>
    </font>
    <font>
      <b/>
      <sz val="8"/>
      <color rgb="FF8A8178"/>
      <name val="Segoe UI"/>
      <family val="2"/>
    </font>
    <font>
      <b/>
      <sz val="20"/>
      <color rgb="FF63513D"/>
      <name val="Segoe UI"/>
      <family val="2"/>
    </font>
    <font>
      <sz val="9"/>
      <color rgb="FF3E3A36"/>
      <name val="Segoe UI"/>
      <family val="2"/>
    </font>
    <font>
      <sz val="9"/>
      <name val="Segoe UI"/>
      <family val="2"/>
    </font>
    <font>
      <sz val="10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b/>
      <sz val="20"/>
      <color rgb="FF63513D"/>
      <name val="Segoe UI"/>
      <family val="2"/>
      <charset val="1"/>
    </font>
    <font>
      <b/>
      <sz val="11"/>
      <color rgb="FF63513D"/>
      <name val="Segoe UI"/>
      <family val="2"/>
      <charset val="1"/>
    </font>
    <font>
      <b/>
      <sz val="10"/>
      <color theme="1"/>
      <name val="Segoe UI"/>
      <family val="2"/>
      <charset val="1"/>
    </font>
    <font>
      <u/>
      <sz val="11"/>
      <color theme="10"/>
      <name val="Calibri"/>
      <family val="2"/>
      <charset val="1"/>
    </font>
    <font>
      <sz val="10"/>
      <color rgb="FF0070C0"/>
      <name val="Segoe UI"/>
      <family val="2"/>
      <charset val="1"/>
    </font>
    <font>
      <sz val="11"/>
      <color rgb="FF0070C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0"/>
      <color theme="0"/>
      <name val="Segoe UI"/>
      <family val="2"/>
    </font>
    <font>
      <sz val="10"/>
      <name val="Segoe UI"/>
      <family val="2"/>
      <charset val="1"/>
    </font>
    <font>
      <sz val="11"/>
      <color rgb="FF0070C0"/>
      <name val="Segoe UI"/>
      <family val="2"/>
      <charset val="1"/>
    </font>
    <font>
      <sz val="11"/>
      <name val="Segoe U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.5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F2EDE6"/>
        <bgColor rgb="FFFFF9E6"/>
      </patternFill>
    </fill>
    <fill>
      <patternFill patternType="solid">
        <fgColor rgb="FF63513D"/>
        <bgColor indexed="64"/>
      </patternFill>
    </fill>
    <fill>
      <patternFill patternType="solid">
        <fgColor rgb="FFFFF9E6"/>
        <bgColor rgb="FFF6F6F6"/>
      </patternFill>
    </fill>
    <fill>
      <patternFill patternType="solid">
        <fgColor rgb="FF63513D"/>
        <bgColor rgb="FF66666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9E6"/>
      </patternFill>
    </fill>
    <fill>
      <patternFill patternType="solid">
        <fgColor rgb="FFFFF9E6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rgb="FFBFB5A8"/>
      </top>
      <bottom/>
      <diagonal/>
    </border>
    <border>
      <left/>
      <right/>
      <top/>
      <bottom style="thin">
        <color rgb="FFBFB5A8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rgb="FFBFB5A8"/>
      </left>
      <right/>
      <top style="hair">
        <color rgb="FFBFB5A8"/>
      </top>
      <bottom/>
      <diagonal/>
    </border>
    <border>
      <left/>
      <right/>
      <top style="hair">
        <color rgb="FFBFB5A8"/>
      </top>
      <bottom/>
      <diagonal/>
    </border>
    <border>
      <left/>
      <right style="hair">
        <color rgb="FFBFB5A8"/>
      </right>
      <top style="hair">
        <color rgb="FFBFB5A8"/>
      </top>
      <bottom/>
      <diagonal/>
    </border>
    <border>
      <left style="hair">
        <color rgb="FFBFB5A8"/>
      </left>
      <right/>
      <top/>
      <bottom style="thin">
        <color auto="1"/>
      </bottom>
      <diagonal/>
    </border>
    <border>
      <left/>
      <right style="hair">
        <color rgb="FFBFB5A8"/>
      </right>
      <top/>
      <bottom style="thin">
        <color auto="1"/>
      </bottom>
      <diagonal/>
    </border>
    <border>
      <left style="hair">
        <color rgb="FFBFB5A8"/>
      </left>
      <right/>
      <top/>
      <bottom/>
      <diagonal/>
    </border>
    <border>
      <left/>
      <right style="hair">
        <color rgb="FFBFB5A8"/>
      </right>
      <top/>
      <bottom/>
      <diagonal/>
    </border>
    <border>
      <left style="hair">
        <color rgb="FFBFB5A8"/>
      </left>
      <right/>
      <top/>
      <bottom style="thin">
        <color rgb="FFBFB5A8"/>
      </bottom>
      <diagonal/>
    </border>
    <border>
      <left/>
      <right style="hair">
        <color rgb="FFBFB5A8"/>
      </right>
      <top/>
      <bottom style="thin">
        <color rgb="FFBFB5A8"/>
      </bottom>
      <diagonal/>
    </border>
    <border>
      <left style="hair">
        <color auto="1"/>
      </left>
      <right/>
      <top style="thin">
        <color rgb="FFBFB5A8"/>
      </top>
      <bottom/>
      <diagonal/>
    </border>
    <border>
      <left/>
      <right style="hair">
        <color auto="1"/>
      </right>
      <top style="thin">
        <color rgb="FFBFB5A8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BFB5A8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theme="2" tint="-0.499984740745262"/>
      </top>
      <bottom style="double">
        <color theme="2" tint="-0.499984740745262"/>
      </bottom>
      <diagonal/>
    </border>
    <border>
      <left style="thin">
        <color rgb="FFD9C9B0"/>
      </left>
      <right/>
      <top style="medium">
        <color rgb="FF63513D"/>
      </top>
      <bottom/>
      <diagonal/>
    </border>
    <border>
      <left/>
      <right style="thin">
        <color rgb="FFD9C9B0"/>
      </right>
      <top style="medium">
        <color rgb="FF63513D"/>
      </top>
      <bottom/>
      <diagonal/>
    </border>
    <border>
      <left style="thin">
        <color rgb="FFD9C9B0"/>
      </left>
      <right/>
      <top/>
      <bottom/>
      <diagonal/>
    </border>
    <border>
      <left/>
      <right style="thin">
        <color rgb="FFD9C9B0"/>
      </right>
      <top/>
      <bottom/>
      <diagonal/>
    </border>
    <border>
      <left style="thin">
        <color rgb="FFD9C9B0"/>
      </left>
      <right/>
      <top/>
      <bottom style="thin">
        <color rgb="FFD9C9B0"/>
      </bottom>
      <diagonal/>
    </border>
    <border>
      <left/>
      <right style="thin">
        <color rgb="FFD9C9B0"/>
      </right>
      <top/>
      <bottom style="thin">
        <color rgb="FFD9C9B0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double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double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rgb="FFBFB5A8"/>
      </bottom>
      <diagonal/>
    </border>
    <border>
      <left/>
      <right style="thin">
        <color theme="2" tint="-0.499984740745262"/>
      </right>
      <top/>
      <bottom style="thin">
        <color rgb="FFBFB5A8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rgb="FFBFB5A8"/>
      </top>
      <bottom style="thin">
        <color theme="2" tint="-0.499984740745262"/>
      </bottom>
      <diagonal/>
    </border>
    <border>
      <left/>
      <right/>
      <top style="thin">
        <color rgb="FFBFB5A8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rgb="FFBFB5A8"/>
      </top>
      <bottom style="thin">
        <color theme="2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rgb="FF987C5E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BFB5A8"/>
      </left>
      <right/>
      <top style="hair">
        <color rgb="FFBFB5A8"/>
      </top>
      <bottom style="thin">
        <color rgb="FFBFB5A8"/>
      </bottom>
      <diagonal/>
    </border>
    <border>
      <left/>
      <right/>
      <top style="hair">
        <color rgb="FFBFB5A8"/>
      </top>
      <bottom style="thin">
        <color rgb="FFBFB5A8"/>
      </bottom>
      <diagonal/>
    </border>
    <border>
      <left style="hair">
        <color auto="1"/>
      </left>
      <right/>
      <top style="hair">
        <color rgb="FFBFB5A8"/>
      </top>
      <bottom style="thin">
        <color rgb="FFBFB5A8"/>
      </bottom>
      <diagonal/>
    </border>
    <border>
      <left/>
      <right style="hair">
        <color auto="1"/>
      </right>
      <top style="hair">
        <color rgb="FFBFB5A8"/>
      </top>
      <bottom style="thin">
        <color rgb="FFBFB5A8"/>
      </bottom>
      <diagonal/>
    </border>
    <border>
      <left style="hair">
        <color auto="1"/>
      </left>
      <right style="hair">
        <color auto="1"/>
      </right>
      <top style="hair">
        <color rgb="FFBFB5A8"/>
      </top>
      <bottom style="thin">
        <color rgb="FFBFB5A8"/>
      </bottom>
      <diagonal/>
    </border>
    <border>
      <left style="hair">
        <color rgb="FFBFB5A8"/>
      </left>
      <right style="hair">
        <color rgb="FFBFB5A8"/>
      </right>
      <top style="hair">
        <color rgb="FFBFB5A8"/>
      </top>
      <bottom/>
      <diagonal/>
    </border>
    <border>
      <left style="hair">
        <color rgb="FFBFB5A8"/>
      </left>
      <right style="hair">
        <color rgb="FFBFB5A8"/>
      </right>
      <top/>
      <bottom/>
      <diagonal/>
    </border>
    <border>
      <left style="hair">
        <color rgb="FFBFB5A8"/>
      </left>
      <right style="hair">
        <color rgb="FFBFB5A8"/>
      </right>
      <top/>
      <bottom style="hair">
        <color rgb="FFBFB5A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rgb="FFBFB5A8"/>
      </left>
      <right style="hair">
        <color rgb="FFBFB5A8"/>
      </right>
      <top/>
      <bottom style="thin">
        <color rgb="FFBFB5A8"/>
      </bottom>
      <diagonal/>
    </border>
  </borders>
  <cellStyleXfs count="4">
    <xf numFmtId="0" fontId="0" fillId="0" borderId="0"/>
    <xf numFmtId="0" fontId="1" fillId="0" borderId="0"/>
    <xf numFmtId="43" fontId="27" fillId="0" borderId="0" applyFont="0" applyFill="0" applyBorder="0" applyAlignment="0" applyProtection="0"/>
    <xf numFmtId="0" fontId="59" fillId="0" borderId="0" applyNumberFormat="0" applyFill="0" applyBorder="0" applyAlignment="0" applyProtection="0"/>
  </cellStyleXfs>
  <cellXfs count="39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2" borderId="0" xfId="0" applyFill="1"/>
    <xf numFmtId="0" fontId="2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66" fontId="5" fillId="0" borderId="2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65" fontId="12" fillId="0" borderId="0" xfId="0" applyNumberFormat="1" applyFont="1" applyAlignment="1">
      <alignment vertical="center"/>
    </xf>
    <xf numFmtId="167" fontId="3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/>
    <xf numFmtId="0" fontId="14" fillId="4" borderId="0" xfId="0" applyFont="1" applyFill="1"/>
    <xf numFmtId="0" fontId="23" fillId="4" borderId="0" xfId="0" applyFont="1" applyFill="1"/>
    <xf numFmtId="0" fontId="24" fillId="0" borderId="0" xfId="0" applyFont="1" applyAlignment="1"/>
    <xf numFmtId="0" fontId="0" fillId="0" borderId="0" xfId="0" applyAlignment="1"/>
    <xf numFmtId="0" fontId="9" fillId="0" borderId="0" xfId="0" applyFont="1" applyAlignment="1">
      <alignment horizontal="left" vertical="top"/>
    </xf>
    <xf numFmtId="0" fontId="8" fillId="0" borderId="0" xfId="0" applyFont="1" applyAlignment="1"/>
    <xf numFmtId="0" fontId="1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" fontId="31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vertical="center"/>
    </xf>
    <xf numFmtId="0" fontId="31" fillId="0" borderId="2" xfId="0" applyFont="1" applyBorder="1" applyAlignment="1">
      <alignment vertical="center"/>
    </xf>
    <xf numFmtId="1" fontId="31" fillId="0" borderId="2" xfId="0" applyNumberFormat="1" applyFont="1" applyBorder="1" applyAlignment="1">
      <alignment horizontal="center" vertical="center"/>
    </xf>
    <xf numFmtId="167" fontId="31" fillId="0" borderId="2" xfId="0" applyNumberFormat="1" applyFont="1" applyBorder="1" applyAlignment="1">
      <alignment vertical="center"/>
    </xf>
    <xf numFmtId="0" fontId="33" fillId="0" borderId="0" xfId="0" applyFont="1" applyFill="1" applyBorder="1" applyAlignment="1">
      <alignment horizontal="center" vertical="center" wrapText="1"/>
    </xf>
    <xf numFmtId="0" fontId="33" fillId="0" borderId="13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Continuous" vertical="center" wrapText="1"/>
    </xf>
    <xf numFmtId="0" fontId="33" fillId="0" borderId="13" xfId="0" applyFont="1" applyFill="1" applyBorder="1" applyAlignment="1">
      <alignment horizontal="centerContinuous" vertical="center" wrapText="1"/>
    </xf>
    <xf numFmtId="166" fontId="5" fillId="0" borderId="0" xfId="0" applyNumberFormat="1" applyFont="1" applyBorder="1" applyAlignment="1">
      <alignment horizontal="right" vertical="center"/>
    </xf>
    <xf numFmtId="0" fontId="33" fillId="0" borderId="14" xfId="0" applyFont="1" applyFill="1" applyBorder="1" applyAlignment="1">
      <alignment horizontal="centerContinuous" vertical="center" wrapText="1"/>
    </xf>
    <xf numFmtId="0" fontId="33" fillId="0" borderId="15" xfId="0" applyFont="1" applyFill="1" applyBorder="1" applyAlignment="1">
      <alignment horizontal="centerContinuous" vertical="center" wrapText="1"/>
    </xf>
    <xf numFmtId="0" fontId="33" fillId="0" borderId="16" xfId="0" applyFont="1" applyFill="1" applyBorder="1" applyAlignment="1">
      <alignment horizontal="centerContinuous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33" fillId="0" borderId="18" xfId="0" applyFont="1" applyFill="1" applyBorder="1" applyAlignment="1">
      <alignment horizontal="center" vertical="center" wrapText="1"/>
    </xf>
    <xf numFmtId="166" fontId="5" fillId="0" borderId="19" xfId="0" applyNumberFormat="1" applyFont="1" applyBorder="1" applyAlignment="1">
      <alignment horizontal="right" vertical="center"/>
    </xf>
    <xf numFmtId="166" fontId="5" fillId="0" borderId="20" xfId="0" applyNumberFormat="1" applyFont="1" applyBorder="1" applyAlignment="1">
      <alignment horizontal="right" vertical="center"/>
    </xf>
    <xf numFmtId="166" fontId="5" fillId="0" borderId="21" xfId="0" applyNumberFormat="1" applyFont="1" applyBorder="1" applyAlignment="1">
      <alignment horizontal="right" vertical="center"/>
    </xf>
    <xf numFmtId="166" fontId="5" fillId="0" borderId="22" xfId="0" applyNumberFormat="1" applyFont="1" applyBorder="1" applyAlignment="1">
      <alignment horizontal="right" vertical="center"/>
    </xf>
    <xf numFmtId="0" fontId="33" fillId="0" borderId="9" xfId="0" applyFont="1" applyFill="1" applyBorder="1" applyAlignment="1">
      <alignment horizontal="centerContinuous" vertical="center" wrapText="1"/>
    </xf>
    <xf numFmtId="0" fontId="33" fillId="0" borderId="10" xfId="0" applyFont="1" applyFill="1" applyBorder="1" applyAlignment="1">
      <alignment horizontal="centerContinuous" vertical="center" wrapText="1"/>
    </xf>
    <xf numFmtId="165" fontId="5" fillId="0" borderId="9" xfId="0" applyNumberFormat="1" applyFont="1" applyBorder="1" applyAlignment="1">
      <alignment vertical="center"/>
    </xf>
    <xf numFmtId="165" fontId="5" fillId="0" borderId="10" xfId="0" applyNumberFormat="1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165" fontId="3" fillId="0" borderId="24" xfId="0" applyNumberFormat="1" applyFont="1" applyBorder="1" applyAlignment="1">
      <alignment vertical="center"/>
    </xf>
    <xf numFmtId="165" fontId="5" fillId="0" borderId="11" xfId="0" applyNumberFormat="1" applyFont="1" applyBorder="1" applyAlignment="1">
      <alignment vertical="center"/>
    </xf>
    <xf numFmtId="165" fontId="5" fillId="0" borderId="12" xfId="0" applyNumberFormat="1" applyFont="1" applyBorder="1" applyAlignment="1">
      <alignment vertical="center"/>
    </xf>
    <xf numFmtId="165" fontId="5" fillId="0" borderId="0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0" fontId="33" fillId="0" borderId="26" xfId="0" applyFont="1" applyFill="1" applyBorder="1" applyAlignment="1">
      <alignment horizontal="centerContinuous" vertical="center" wrapText="1"/>
    </xf>
    <xf numFmtId="165" fontId="5" fillId="0" borderId="26" xfId="0" applyNumberFormat="1" applyFont="1" applyBorder="1" applyAlignment="1">
      <alignment vertical="center"/>
    </xf>
    <xf numFmtId="165" fontId="3" fillId="0" borderId="27" xfId="0" applyNumberFormat="1" applyFont="1" applyBorder="1" applyAlignment="1">
      <alignment vertical="center"/>
    </xf>
    <xf numFmtId="165" fontId="5" fillId="0" borderId="28" xfId="0" applyNumberFormat="1" applyFont="1" applyBorder="1" applyAlignment="1">
      <alignment vertical="center"/>
    </xf>
    <xf numFmtId="166" fontId="5" fillId="0" borderId="26" xfId="0" applyNumberFormat="1" applyFont="1" applyBorder="1" applyAlignment="1">
      <alignment vertical="center"/>
    </xf>
    <xf numFmtId="166" fontId="3" fillId="0" borderId="27" xfId="0" applyNumberFormat="1" applyFont="1" applyBorder="1" applyAlignment="1">
      <alignment vertical="center"/>
    </xf>
    <xf numFmtId="166" fontId="5" fillId="0" borderId="28" xfId="0" applyNumberFormat="1" applyFont="1" applyBorder="1" applyAlignment="1">
      <alignment vertical="center"/>
    </xf>
    <xf numFmtId="0" fontId="34" fillId="0" borderId="6" xfId="0" applyFont="1" applyBorder="1" applyAlignment="1">
      <alignment horizontal="centerContinuous"/>
    </xf>
    <xf numFmtId="0" fontId="34" fillId="0" borderId="8" xfId="0" applyFont="1" applyBorder="1" applyAlignment="1">
      <alignment horizontal="centerContinuous"/>
    </xf>
    <xf numFmtId="0" fontId="34" fillId="0" borderId="7" xfId="0" applyFont="1" applyBorder="1" applyAlignment="1">
      <alignment horizontal="centerContinuous"/>
    </xf>
    <xf numFmtId="0" fontId="34" fillId="0" borderId="25" xfId="0" applyFont="1" applyBorder="1"/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0" fillId="0" borderId="4" xfId="0" applyBorder="1"/>
    <xf numFmtId="0" fontId="46" fillId="0" borderId="0" xfId="0" applyFont="1" applyAlignment="1">
      <alignment vertical="center"/>
    </xf>
    <xf numFmtId="0" fontId="47" fillId="0" borderId="14" xfId="0" applyFont="1" applyFill="1" applyBorder="1" applyAlignment="1">
      <alignment horizontal="centerContinuous" vertical="center" wrapText="1"/>
    </xf>
    <xf numFmtId="0" fontId="47" fillId="0" borderId="15" xfId="0" applyFont="1" applyFill="1" applyBorder="1" applyAlignment="1">
      <alignment horizontal="centerContinuous" vertical="center" wrapText="1"/>
    </xf>
    <xf numFmtId="0" fontId="47" fillId="0" borderId="16" xfId="0" applyFont="1" applyFill="1" applyBorder="1" applyAlignment="1">
      <alignment horizontal="centerContinuous" vertical="center" wrapText="1"/>
    </xf>
    <xf numFmtId="0" fontId="47" fillId="0" borderId="17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8" xfId="0" applyFont="1" applyFill="1" applyBorder="1" applyAlignment="1">
      <alignment horizontal="center" vertical="center" wrapText="1"/>
    </xf>
    <xf numFmtId="166" fontId="3" fillId="0" borderId="59" xfId="0" applyNumberFormat="1" applyFont="1" applyFill="1" applyBorder="1" applyAlignment="1">
      <alignment vertical="center"/>
    </xf>
    <xf numFmtId="166" fontId="3" fillId="0" borderId="60" xfId="0" applyNumberFormat="1" applyFont="1" applyFill="1" applyBorder="1" applyAlignment="1">
      <alignment vertical="center"/>
    </xf>
    <xf numFmtId="166" fontId="3" fillId="0" borderId="61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167" fontId="32" fillId="0" borderId="0" xfId="0" applyNumberFormat="1" applyFont="1" applyFill="1" applyAlignment="1">
      <alignment vertical="center"/>
    </xf>
    <xf numFmtId="166" fontId="5" fillId="0" borderId="60" xfId="0" applyNumberFormat="1" applyFont="1" applyFill="1" applyBorder="1" applyAlignment="1">
      <alignment vertical="center"/>
    </xf>
    <xf numFmtId="166" fontId="5" fillId="0" borderId="61" xfId="0" applyNumberFormat="1" applyFont="1" applyFill="1" applyBorder="1" applyAlignment="1">
      <alignment vertical="center"/>
    </xf>
    <xf numFmtId="166" fontId="5" fillId="0" borderId="59" xfId="0" applyNumberFormat="1" applyFont="1" applyFill="1" applyBorder="1" applyAlignment="1">
      <alignment vertical="center"/>
    </xf>
    <xf numFmtId="166" fontId="3" fillId="0" borderId="59" xfId="0" applyNumberFormat="1" applyFont="1" applyBorder="1" applyAlignment="1">
      <alignment vertical="center"/>
    </xf>
    <xf numFmtId="166" fontId="3" fillId="0" borderId="60" xfId="0" applyNumberFormat="1" applyFont="1" applyBorder="1" applyAlignment="1">
      <alignment vertical="center"/>
    </xf>
    <xf numFmtId="166" fontId="3" fillId="0" borderId="61" xfId="0" applyNumberFormat="1" applyFont="1" applyBorder="1" applyAlignment="1">
      <alignment vertical="center"/>
    </xf>
    <xf numFmtId="1" fontId="7" fillId="0" borderId="0" xfId="0" applyNumberFormat="1" applyFont="1" applyBorder="1" applyAlignment="1">
      <alignment horizontal="center" vertical="center"/>
    </xf>
    <xf numFmtId="167" fontId="5" fillId="0" borderId="0" xfId="0" applyNumberFormat="1" applyFont="1" applyBorder="1" applyAlignment="1">
      <alignment vertical="center"/>
    </xf>
    <xf numFmtId="0" fontId="10" fillId="3" borderId="62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 vertical="center"/>
    </xf>
    <xf numFmtId="167" fontId="7" fillId="3" borderId="63" xfId="0" applyNumberFormat="1" applyFont="1" applyFill="1" applyBorder="1" applyAlignment="1">
      <alignment vertical="center"/>
    </xf>
    <xf numFmtId="165" fontId="7" fillId="3" borderId="64" xfId="0" applyNumberFormat="1" applyFont="1" applyFill="1" applyBorder="1" applyAlignment="1">
      <alignment vertical="center"/>
    </xf>
    <xf numFmtId="165" fontId="7" fillId="3" borderId="65" xfId="0" applyNumberFormat="1" applyFont="1" applyFill="1" applyBorder="1" applyAlignment="1">
      <alignment vertical="center"/>
    </xf>
    <xf numFmtId="165" fontId="7" fillId="3" borderId="63" xfId="0" applyNumberFormat="1" applyFont="1" applyFill="1" applyBorder="1" applyAlignment="1">
      <alignment vertical="center"/>
    </xf>
    <xf numFmtId="165" fontId="7" fillId="3" borderId="66" xfId="0" applyNumberFormat="1" applyFont="1" applyFill="1" applyBorder="1" applyAlignment="1">
      <alignment vertical="center"/>
    </xf>
    <xf numFmtId="166" fontId="5" fillId="3" borderId="66" xfId="0" applyNumberFormat="1" applyFont="1" applyFill="1" applyBorder="1" applyAlignment="1">
      <alignment vertical="center"/>
    </xf>
    <xf numFmtId="0" fontId="0" fillId="0" borderId="0" xfId="0" applyProtection="1"/>
    <xf numFmtId="0" fontId="55" fillId="6" borderId="50" xfId="0" applyFont="1" applyFill="1" applyBorder="1" applyAlignment="1" applyProtection="1"/>
    <xf numFmtId="0" fontId="55" fillId="6" borderId="51" xfId="0" applyFont="1" applyFill="1" applyBorder="1" applyAlignment="1" applyProtection="1"/>
    <xf numFmtId="0" fontId="55" fillId="6" borderId="52" xfId="0" applyFont="1" applyFill="1" applyBorder="1" applyAlignment="1" applyProtection="1">
      <alignment horizontal="right"/>
    </xf>
    <xf numFmtId="0" fontId="55" fillId="0" borderId="53" xfId="0" applyFont="1" applyBorder="1" applyAlignment="1" applyProtection="1"/>
    <xf numFmtId="0" fontId="55" fillId="0" borderId="0" xfId="0" applyFont="1" applyAlignment="1" applyProtection="1"/>
    <xf numFmtId="0" fontId="55" fillId="0" borderId="54" xfId="0" applyFont="1" applyBorder="1" applyAlignment="1" applyProtection="1"/>
    <xf numFmtId="0" fontId="56" fillId="0" borderId="0" xfId="0" applyFont="1" applyAlignment="1" applyProtection="1"/>
    <xf numFmtId="0" fontId="57" fillId="0" borderId="0" xfId="0" applyFont="1" applyAlignment="1" applyProtection="1">
      <alignment horizontal="right"/>
    </xf>
    <xf numFmtId="0" fontId="58" fillId="0" borderId="55" xfId="0" applyFont="1" applyBorder="1" applyAlignment="1" applyProtection="1"/>
    <xf numFmtId="0" fontId="54" fillId="0" borderId="0" xfId="0" applyFont="1" applyAlignment="1" applyProtection="1"/>
    <xf numFmtId="0" fontId="0" fillId="0" borderId="55" xfId="0" applyBorder="1" applyProtection="1"/>
    <xf numFmtId="179" fontId="54" fillId="0" borderId="0" xfId="0" applyNumberFormat="1" applyFont="1" applyAlignment="1" applyProtection="1"/>
    <xf numFmtId="0" fontId="55" fillId="5" borderId="0" xfId="0" applyFont="1" applyFill="1" applyAlignment="1" applyProtection="1"/>
    <xf numFmtId="0" fontId="55" fillId="0" borderId="56" xfId="0" applyFont="1" applyBorder="1" applyAlignment="1" applyProtection="1"/>
    <xf numFmtId="0" fontId="55" fillId="0" borderId="57" xfId="0" applyFont="1" applyBorder="1" applyAlignment="1" applyProtection="1"/>
    <xf numFmtId="0" fontId="55" fillId="0" borderId="58" xfId="0" applyFont="1" applyBorder="1" applyAlignment="1" applyProtection="1"/>
    <xf numFmtId="0" fontId="59" fillId="0" borderId="0" xfId="3" applyFill="1" applyProtection="1">
      <protection locked="0"/>
    </xf>
    <xf numFmtId="0" fontId="14" fillId="0" borderId="0" xfId="0" applyFont="1" applyProtection="1"/>
    <xf numFmtId="0" fontId="14" fillId="4" borderId="0" xfId="0" applyFont="1" applyFill="1" applyProtection="1"/>
    <xf numFmtId="0" fontId="23" fillId="4" borderId="0" xfId="0" applyFont="1" applyFill="1" applyProtection="1"/>
    <xf numFmtId="0" fontId="24" fillId="0" borderId="0" xfId="0" applyFont="1" applyAlignment="1" applyProtection="1"/>
    <xf numFmtId="0" fontId="13" fillId="2" borderId="0" xfId="0" applyFont="1" applyFill="1" applyAlignment="1" applyProtection="1">
      <alignment vertical="center"/>
    </xf>
    <xf numFmtId="0" fontId="14" fillId="2" borderId="0" xfId="0" applyFont="1" applyFill="1" applyProtection="1"/>
    <xf numFmtId="0" fontId="50" fillId="0" borderId="32" xfId="1" applyNumberFormat="1" applyFont="1" applyFill="1" applyBorder="1" applyAlignment="1" applyProtection="1">
      <alignment horizontal="centerContinuous" vertical="center"/>
    </xf>
    <xf numFmtId="0" fontId="50" fillId="0" borderId="33" xfId="1" applyNumberFormat="1" applyFont="1" applyFill="1" applyBorder="1" applyAlignment="1" applyProtection="1">
      <alignment horizontal="centerContinuous" vertical="center"/>
    </xf>
    <xf numFmtId="0" fontId="14" fillId="0" borderId="0" xfId="0" applyFont="1" applyFill="1" applyAlignment="1" applyProtection="1">
      <alignment vertical="center"/>
    </xf>
    <xf numFmtId="177" fontId="51" fillId="0" borderId="34" xfId="1" applyNumberFormat="1" applyFont="1" applyFill="1" applyBorder="1" applyAlignment="1" applyProtection="1">
      <alignment horizontal="centerContinuous" vertical="center"/>
    </xf>
    <xf numFmtId="174" fontId="51" fillId="0" borderId="35" xfId="1" applyNumberFormat="1" applyFont="1" applyFill="1" applyBorder="1" applyAlignment="1" applyProtection="1">
      <alignment horizontal="centerContinuous" vertical="center"/>
    </xf>
    <xf numFmtId="178" fontId="51" fillId="0" borderId="34" xfId="1" applyNumberFormat="1" applyFont="1" applyFill="1" applyBorder="1" applyAlignment="1" applyProtection="1">
      <alignment horizontal="centerContinuous" vertical="center"/>
    </xf>
    <xf numFmtId="178" fontId="51" fillId="0" borderId="35" xfId="1" applyNumberFormat="1" applyFont="1" applyFill="1" applyBorder="1" applyAlignment="1" applyProtection="1">
      <alignment horizontal="centerContinuous" vertical="center"/>
    </xf>
    <xf numFmtId="0" fontId="14" fillId="0" borderId="0" xfId="0" applyFont="1" applyFill="1" applyProtection="1"/>
    <xf numFmtId="0" fontId="52" fillId="0" borderId="36" xfId="1" applyNumberFormat="1" applyFont="1" applyFill="1" applyBorder="1" applyAlignment="1" applyProtection="1">
      <alignment horizontal="centerContinuous" vertical="center"/>
    </xf>
    <xf numFmtId="0" fontId="52" fillId="0" borderId="37" xfId="1" applyNumberFormat="1" applyFont="1" applyFill="1" applyBorder="1" applyAlignment="1" applyProtection="1">
      <alignment horizontal="centerContinuous" vertical="center"/>
    </xf>
    <xf numFmtId="0" fontId="52" fillId="0" borderId="0" xfId="1" applyNumberFormat="1" applyFont="1" applyFill="1" applyBorder="1" applyAlignment="1" applyProtection="1">
      <alignment horizontal="centerContinuous" vertical="center"/>
    </xf>
    <xf numFmtId="164" fontId="43" fillId="0" borderId="0" xfId="0" applyNumberFormat="1" applyFont="1" applyFill="1" applyBorder="1" applyAlignment="1" applyProtection="1">
      <alignment vertical="center"/>
    </xf>
    <xf numFmtId="176" fontId="35" fillId="5" borderId="0" xfId="0" applyNumberFormat="1" applyFont="1" applyFill="1" applyAlignment="1" applyProtection="1"/>
    <xf numFmtId="176" fontId="35" fillId="5" borderId="0" xfId="0" applyNumberFormat="1" applyFont="1" applyFill="1" applyAlignment="1" applyProtection="1">
      <alignment horizontal="centerContinuous"/>
    </xf>
    <xf numFmtId="0" fontId="44" fillId="0" borderId="0" xfId="0" applyFont="1" applyBorder="1" applyAlignment="1" applyProtection="1">
      <alignment vertical="top"/>
    </xf>
    <xf numFmtId="0" fontId="14" fillId="0" borderId="0" xfId="0" applyFont="1" applyAlignment="1" applyProtection="1"/>
    <xf numFmtId="0" fontId="13" fillId="0" borderId="0" xfId="0" applyFont="1" applyAlignment="1" applyProtection="1">
      <alignment vertical="center"/>
    </xf>
    <xf numFmtId="37" fontId="28" fillId="5" borderId="0" xfId="0" applyNumberFormat="1" applyFont="1" applyFill="1" applyAlignment="1" applyProtection="1">
      <alignment horizontal="centerContinuous" vertical="center"/>
    </xf>
    <xf numFmtId="37" fontId="35" fillId="5" borderId="0" xfId="0" applyNumberFormat="1" applyFont="1" applyFill="1" applyAlignment="1" applyProtection="1">
      <alignment horizontal="centerContinuous" vertical="center"/>
    </xf>
    <xf numFmtId="175" fontId="35" fillId="5" borderId="0" xfId="0" applyNumberFormat="1" applyFont="1" applyFill="1" applyAlignment="1" applyProtection="1">
      <alignment horizontal="centerContinuous"/>
    </xf>
    <xf numFmtId="0" fontId="14" fillId="0" borderId="4" xfId="0" applyFont="1" applyBorder="1" applyProtection="1"/>
    <xf numFmtId="37" fontId="28" fillId="5" borderId="0" xfId="0" applyNumberFormat="1" applyFont="1" applyFill="1" applyAlignment="1" applyProtection="1">
      <alignment vertical="center"/>
    </xf>
    <xf numFmtId="0" fontId="37" fillId="0" borderId="38" xfId="0" applyFont="1" applyBorder="1" applyAlignment="1" applyProtection="1">
      <alignment horizontal="centerContinuous" vertical="center" wrapText="1"/>
    </xf>
    <xf numFmtId="0" fontId="37" fillId="0" borderId="31" xfId="0" applyFont="1" applyBorder="1" applyAlignment="1" applyProtection="1">
      <alignment horizontal="centerContinuous" vertical="center" wrapText="1"/>
    </xf>
    <xf numFmtId="0" fontId="37" fillId="0" borderId="31" xfId="0" applyFont="1" applyBorder="1" applyAlignment="1" applyProtection="1">
      <alignment vertical="center" wrapText="1"/>
    </xf>
    <xf numFmtId="0" fontId="37" fillId="0" borderId="39" xfId="0" applyFont="1" applyBorder="1" applyAlignment="1" applyProtection="1">
      <alignment vertical="center" wrapText="1"/>
    </xf>
    <xf numFmtId="0" fontId="36" fillId="0" borderId="40" xfId="0" applyFont="1" applyBorder="1" applyAlignment="1" applyProtection="1">
      <alignment vertical="center"/>
    </xf>
    <xf numFmtId="0" fontId="14" fillId="0" borderId="0" xfId="0" applyFont="1" applyBorder="1" applyProtection="1"/>
    <xf numFmtId="164" fontId="32" fillId="0" borderId="0" xfId="0" applyNumberFormat="1" applyFont="1" applyBorder="1" applyAlignment="1" applyProtection="1">
      <alignment vertical="center"/>
    </xf>
    <xf numFmtId="0" fontId="38" fillId="0" borderId="41" xfId="0" applyFont="1" applyBorder="1" applyAlignment="1" applyProtection="1">
      <alignment horizontal="center" vertical="center"/>
    </xf>
    <xf numFmtId="0" fontId="42" fillId="0" borderId="40" xfId="0" applyFont="1" applyBorder="1" applyAlignment="1" applyProtection="1">
      <alignment vertical="center"/>
    </xf>
    <xf numFmtId="164" fontId="49" fillId="0" borderId="0" xfId="0" applyNumberFormat="1" applyFont="1" applyBorder="1" applyAlignment="1" applyProtection="1">
      <alignment vertical="center"/>
    </xf>
    <xf numFmtId="0" fontId="41" fillId="0" borderId="42" xfId="0" applyFont="1" applyBorder="1" applyAlignment="1" applyProtection="1">
      <alignment vertical="center"/>
    </xf>
    <xf numFmtId="0" fontId="41" fillId="0" borderId="2" xfId="0" applyFont="1" applyBorder="1" applyAlignment="1" applyProtection="1">
      <alignment vertical="center"/>
    </xf>
    <xf numFmtId="164" fontId="32" fillId="0" borderId="2" xfId="0" applyNumberFormat="1" applyFont="1" applyBorder="1" applyAlignment="1" applyProtection="1">
      <alignment vertical="center"/>
    </xf>
    <xf numFmtId="164" fontId="49" fillId="0" borderId="2" xfId="0" applyNumberFormat="1" applyFont="1" applyBorder="1" applyAlignment="1" applyProtection="1">
      <alignment vertical="center"/>
    </xf>
    <xf numFmtId="0" fontId="38" fillId="0" borderId="43" xfId="0" applyFont="1" applyBorder="1" applyAlignment="1" applyProtection="1">
      <alignment horizontal="center" vertical="center"/>
    </xf>
    <xf numFmtId="0" fontId="32" fillId="0" borderId="40" xfId="0" applyFont="1" applyBorder="1" applyAlignment="1" applyProtection="1">
      <alignment vertical="center"/>
    </xf>
    <xf numFmtId="165" fontId="32" fillId="0" borderId="0" xfId="0" applyNumberFormat="1" applyFont="1" applyBorder="1" applyAlignment="1" applyProtection="1">
      <alignment vertical="center"/>
    </xf>
    <xf numFmtId="165" fontId="32" fillId="0" borderId="41" xfId="0" applyNumberFormat="1" applyFont="1" applyBorder="1" applyAlignment="1" applyProtection="1">
      <alignment vertical="center"/>
    </xf>
    <xf numFmtId="0" fontId="37" fillId="3" borderId="47" xfId="0" applyFont="1" applyFill="1" applyBorder="1" applyAlignment="1" applyProtection="1">
      <alignment vertical="center"/>
    </xf>
    <xf numFmtId="0" fontId="37" fillId="3" borderId="48" xfId="0" applyFont="1" applyFill="1" applyBorder="1" applyAlignment="1" applyProtection="1">
      <alignment vertical="center"/>
    </xf>
    <xf numFmtId="0" fontId="14" fillId="3" borderId="48" xfId="0" applyFont="1" applyFill="1" applyBorder="1" applyProtection="1"/>
    <xf numFmtId="164" fontId="49" fillId="3" borderId="48" xfId="0" applyNumberFormat="1" applyFont="1" applyFill="1" applyBorder="1" applyAlignment="1" applyProtection="1">
      <alignment vertical="center"/>
    </xf>
    <xf numFmtId="165" fontId="32" fillId="3" borderId="48" xfId="0" applyNumberFormat="1" applyFont="1" applyFill="1" applyBorder="1" applyAlignment="1" applyProtection="1">
      <alignment vertical="center"/>
    </xf>
    <xf numFmtId="165" fontId="49" fillId="3" borderId="49" xfId="0" applyNumberFormat="1" applyFont="1" applyFill="1" applyBorder="1" applyAlignment="1" applyProtection="1">
      <alignment vertical="center"/>
    </xf>
    <xf numFmtId="0" fontId="28" fillId="0" borderId="0" xfId="0" applyFont="1" applyAlignment="1" applyProtection="1">
      <alignment vertical="center"/>
    </xf>
    <xf numFmtId="0" fontId="37" fillId="0" borderId="38" xfId="0" applyFont="1" applyBorder="1" applyAlignment="1" applyProtection="1">
      <alignment vertical="center" wrapText="1"/>
    </xf>
    <xf numFmtId="0" fontId="53" fillId="0" borderId="40" xfId="0" applyFont="1" applyBorder="1" applyAlignment="1" applyProtection="1">
      <alignment vertical="center"/>
    </xf>
    <xf numFmtId="166" fontId="53" fillId="0" borderId="0" xfId="0" applyNumberFormat="1" applyFont="1" applyBorder="1" applyAlignment="1" applyProtection="1">
      <alignment vertical="center"/>
    </xf>
    <xf numFmtId="165" fontId="53" fillId="0" borderId="0" xfId="0" applyNumberFormat="1" applyFont="1" applyBorder="1" applyAlignment="1" applyProtection="1">
      <alignment vertical="center"/>
    </xf>
    <xf numFmtId="0" fontId="14" fillId="0" borderId="41" xfId="0" applyFont="1" applyBorder="1" applyProtection="1"/>
    <xf numFmtId="0" fontId="33" fillId="0" borderId="40" xfId="0" applyFont="1" applyBorder="1" applyAlignment="1" applyProtection="1">
      <alignment vertical="center"/>
    </xf>
    <xf numFmtId="166" fontId="33" fillId="0" borderId="0" xfId="0" applyNumberFormat="1" applyFont="1" applyBorder="1" applyAlignment="1" applyProtection="1">
      <alignment vertical="center"/>
    </xf>
    <xf numFmtId="165" fontId="33" fillId="0" borderId="0" xfId="0" applyNumberFormat="1" applyFont="1" applyBorder="1" applyAlignment="1" applyProtection="1">
      <alignment vertical="center"/>
    </xf>
    <xf numFmtId="166" fontId="33" fillId="0" borderId="41" xfId="0" applyNumberFormat="1" applyFont="1" applyBorder="1" applyAlignment="1" applyProtection="1">
      <alignment vertical="center"/>
    </xf>
    <xf numFmtId="0" fontId="45" fillId="0" borderId="44" xfId="0" applyFont="1" applyBorder="1" applyAlignment="1" applyProtection="1">
      <alignment vertical="center"/>
    </xf>
    <xf numFmtId="166" fontId="33" fillId="0" borderId="45" xfId="0" applyNumberFormat="1" applyFont="1" applyBorder="1" applyAlignment="1" applyProtection="1">
      <alignment vertical="center"/>
    </xf>
    <xf numFmtId="0" fontId="14" fillId="0" borderId="45" xfId="0" applyFont="1" applyBorder="1" applyProtection="1"/>
    <xf numFmtId="0" fontId="14" fillId="0" borderId="46" xfId="0" applyFont="1" applyBorder="1" applyProtection="1"/>
    <xf numFmtId="0" fontId="39" fillId="0" borderId="0" xfId="0" applyFont="1" applyAlignment="1" applyProtection="1">
      <alignment horizontal="left" vertical="top" wrapText="1"/>
    </xf>
    <xf numFmtId="0" fontId="24" fillId="0" borderId="0" xfId="0" applyFont="1" applyProtection="1"/>
    <xf numFmtId="0" fontId="14" fillId="0" borderId="0" xfId="0" applyFont="1" applyAlignment="1" applyProtection="1">
      <alignment wrapText="1"/>
    </xf>
    <xf numFmtId="43" fontId="44" fillId="0" borderId="0" xfId="2" applyFont="1" applyBorder="1" applyAlignment="1" applyProtection="1">
      <alignment vertical="top"/>
    </xf>
    <xf numFmtId="0" fontId="37" fillId="0" borderId="0" xfId="0" applyFont="1" applyAlignment="1" applyProtection="1">
      <alignment vertical="center"/>
    </xf>
    <xf numFmtId="0" fontId="28" fillId="0" borderId="0" xfId="0" applyFont="1" applyAlignment="1" applyProtection="1"/>
    <xf numFmtId="0" fontId="36" fillId="0" borderId="0" xfId="0" applyFont="1" applyAlignment="1" applyProtection="1">
      <alignment vertical="center"/>
    </xf>
    <xf numFmtId="0" fontId="48" fillId="0" borderId="0" xfId="0" applyFont="1" applyAlignment="1" applyProtection="1">
      <alignment horizontal="center" vertical="center"/>
    </xf>
    <xf numFmtId="0" fontId="39" fillId="0" borderId="0" xfId="0" applyFont="1" applyAlignment="1" applyProtection="1">
      <alignment horizontal="left" vertical="top"/>
    </xf>
    <xf numFmtId="0" fontId="37" fillId="0" borderId="13" xfId="0" applyFont="1" applyBorder="1" applyAlignment="1" applyProtection="1">
      <alignment vertical="center" wrapText="1"/>
    </xf>
    <xf numFmtId="0" fontId="37" fillId="0" borderId="29" xfId="0" applyFont="1" applyBorder="1" applyAlignment="1" applyProtection="1">
      <alignment vertical="center" wrapText="1"/>
    </xf>
    <xf numFmtId="0" fontId="37" fillId="0" borderId="30" xfId="0" applyFont="1" applyBorder="1" applyAlignment="1" applyProtection="1">
      <alignment vertical="center" wrapText="1"/>
    </xf>
    <xf numFmtId="167" fontId="32" fillId="0" borderId="0" xfId="0" applyNumberFormat="1" applyFont="1" applyAlignment="1" applyProtection="1">
      <alignment vertical="center"/>
    </xf>
    <xf numFmtId="166" fontId="32" fillId="0" borderId="0" xfId="0" applyNumberFormat="1" applyFont="1" applyAlignment="1" applyProtection="1">
      <alignment vertical="center"/>
    </xf>
    <xf numFmtId="166" fontId="49" fillId="0" borderId="9" xfId="0" applyNumberFormat="1" applyFont="1" applyFill="1" applyBorder="1" applyAlignment="1" applyProtection="1">
      <alignment vertical="center"/>
    </xf>
    <xf numFmtId="166" fontId="49" fillId="0" borderId="10" xfId="0" applyNumberFormat="1" applyFont="1" applyFill="1" applyBorder="1" applyAlignment="1" applyProtection="1">
      <alignment vertical="center"/>
    </xf>
    <xf numFmtId="164" fontId="32" fillId="0" borderId="0" xfId="0" applyNumberFormat="1" applyFont="1" applyAlignment="1" applyProtection="1">
      <alignment vertical="center"/>
    </xf>
    <xf numFmtId="165" fontId="32" fillId="0" borderId="0" xfId="0" applyNumberFormat="1" applyFont="1" applyAlignment="1" applyProtection="1">
      <alignment vertical="center"/>
    </xf>
    <xf numFmtId="165" fontId="49" fillId="0" borderId="11" xfId="0" applyNumberFormat="1" applyFont="1" applyFill="1" applyBorder="1" applyAlignment="1" applyProtection="1">
      <alignment vertical="center"/>
    </xf>
    <xf numFmtId="165" fontId="49" fillId="0" borderId="12" xfId="0" applyNumberFormat="1" applyFont="1" applyFill="1" applyBorder="1" applyAlignment="1" applyProtection="1">
      <alignment vertical="center"/>
    </xf>
    <xf numFmtId="164" fontId="49" fillId="0" borderId="0" xfId="0" applyNumberFormat="1" applyFont="1" applyAlignment="1" applyProtection="1">
      <alignment vertical="center"/>
    </xf>
    <xf numFmtId="0" fontId="38" fillId="0" borderId="0" xfId="0" applyFont="1" applyAlignment="1" applyProtection="1">
      <alignment horizontal="center" vertical="center"/>
    </xf>
    <xf numFmtId="0" fontId="36" fillId="0" borderId="2" xfId="0" applyFont="1" applyBorder="1" applyAlignment="1" applyProtection="1">
      <alignment vertical="center"/>
    </xf>
    <xf numFmtId="167" fontId="32" fillId="0" borderId="2" xfId="0" applyNumberFormat="1" applyFont="1" applyBorder="1" applyAlignment="1" applyProtection="1">
      <alignment vertical="center"/>
    </xf>
    <xf numFmtId="165" fontId="32" fillId="0" borderId="2" xfId="0" applyNumberFormat="1" applyFont="1" applyBorder="1" applyAlignment="1" applyProtection="1">
      <alignment vertical="center"/>
    </xf>
    <xf numFmtId="166" fontId="32" fillId="0" borderId="2" xfId="0" applyNumberFormat="1" applyFont="1" applyBorder="1" applyAlignment="1" applyProtection="1">
      <alignment vertical="center"/>
    </xf>
    <xf numFmtId="0" fontId="38" fillId="0" borderId="2" xfId="0" applyFont="1" applyBorder="1" applyAlignment="1" applyProtection="1">
      <alignment horizontal="center" vertical="center"/>
    </xf>
    <xf numFmtId="0" fontId="37" fillId="0" borderId="0" xfId="0" applyFont="1" applyAlignment="1" applyProtection="1">
      <alignment vertical="center" wrapText="1"/>
    </xf>
    <xf numFmtId="164" fontId="36" fillId="0" borderId="0" xfId="0" applyNumberFormat="1" applyFont="1" applyAlignment="1" applyProtection="1">
      <alignment vertical="center"/>
    </xf>
    <xf numFmtId="0" fontId="36" fillId="0" borderId="1" xfId="0" applyFont="1" applyBorder="1" applyAlignment="1" applyProtection="1">
      <alignment vertical="center"/>
    </xf>
    <xf numFmtId="165" fontId="37" fillId="0" borderId="1" xfId="0" applyNumberFormat="1" applyFont="1" applyBorder="1" applyAlignment="1" applyProtection="1">
      <alignment vertical="center"/>
    </xf>
    <xf numFmtId="0" fontId="14" fillId="0" borderId="1" xfId="0" applyFont="1" applyBorder="1" applyProtection="1"/>
    <xf numFmtId="164" fontId="37" fillId="3" borderId="0" xfId="0" applyNumberFormat="1" applyFont="1" applyFill="1" applyAlignment="1" applyProtection="1">
      <alignment vertical="center"/>
    </xf>
    <xf numFmtId="165" fontId="37" fillId="3" borderId="0" xfId="0" applyNumberFormat="1" applyFont="1" applyFill="1" applyAlignment="1" applyProtection="1">
      <alignment vertical="center"/>
    </xf>
    <xf numFmtId="167" fontId="37" fillId="0" borderId="0" xfId="0" applyNumberFormat="1" applyFont="1" applyAlignment="1" applyProtection="1">
      <alignment vertical="center"/>
    </xf>
    <xf numFmtId="166" fontId="37" fillId="0" borderId="0" xfId="0" applyNumberFormat="1" applyFont="1" applyAlignment="1" applyProtection="1">
      <alignment vertical="center"/>
    </xf>
    <xf numFmtId="164" fontId="37" fillId="0" borderId="0" xfId="0" applyNumberFormat="1" applyFont="1" applyAlignment="1" applyProtection="1">
      <alignment vertical="center"/>
    </xf>
    <xf numFmtId="0" fontId="23" fillId="2" borderId="0" xfId="0" applyFont="1" applyFill="1" applyProtection="1"/>
    <xf numFmtId="0" fontId="23" fillId="0" borderId="0" xfId="0" applyFont="1" applyProtection="1"/>
    <xf numFmtId="169" fontId="21" fillId="0" borderId="0" xfId="0" applyNumberFormat="1" applyFont="1" applyAlignment="1" applyProtection="1">
      <alignment horizontal="left" vertical="center"/>
    </xf>
    <xf numFmtId="0" fontId="17" fillId="0" borderId="0" xfId="0" applyFont="1" applyAlignment="1" applyProtection="1">
      <alignment vertical="center"/>
    </xf>
    <xf numFmtId="171" fontId="13" fillId="0" borderId="3" xfId="0" applyNumberFormat="1" applyFont="1" applyFill="1" applyBorder="1" applyProtection="1"/>
    <xf numFmtId="172" fontId="13" fillId="0" borderId="3" xfId="0" applyNumberFormat="1" applyFont="1" applyFill="1" applyBorder="1" applyProtection="1"/>
    <xf numFmtId="0" fontId="16" fillId="0" borderId="0" xfId="0" applyFont="1" applyFill="1" applyAlignment="1" applyProtection="1">
      <alignment horizontal="center" vertical="center"/>
    </xf>
    <xf numFmtId="170" fontId="22" fillId="0" borderId="0" xfId="0" applyNumberFormat="1" applyFont="1" applyAlignment="1" applyProtection="1"/>
    <xf numFmtId="171" fontId="13" fillId="0" borderId="0" xfId="0" applyNumberFormat="1" applyFont="1" applyFill="1" applyBorder="1" applyProtection="1"/>
    <xf numFmtId="172" fontId="13" fillId="0" borderId="0" xfId="0" applyNumberFormat="1" applyFont="1" applyFill="1" applyBorder="1" applyProtection="1"/>
    <xf numFmtId="0" fontId="15" fillId="0" borderId="0" xfId="0" applyFont="1" applyAlignment="1" applyProtection="1">
      <alignment horizontal="center" vertical="center"/>
    </xf>
    <xf numFmtId="165" fontId="19" fillId="0" borderId="0" xfId="0" applyNumberFormat="1" applyFont="1" applyAlignment="1" applyProtection="1">
      <alignment vertical="center"/>
    </xf>
    <xf numFmtId="0" fontId="20" fillId="0" borderId="0" xfId="0" applyFont="1" applyAlignment="1" applyProtection="1">
      <alignment vertical="center"/>
    </xf>
    <xf numFmtId="167" fontId="17" fillId="0" borderId="0" xfId="0" applyNumberFormat="1" applyFont="1" applyAlignment="1" applyProtection="1">
      <alignment vertical="center"/>
    </xf>
    <xf numFmtId="167" fontId="20" fillId="0" borderId="0" xfId="0" applyNumberFormat="1" applyFont="1" applyAlignment="1" applyProtection="1">
      <alignment vertical="center"/>
    </xf>
    <xf numFmtId="0" fontId="20" fillId="0" borderId="1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horizontal="center" vertical="center"/>
    </xf>
    <xf numFmtId="167" fontId="20" fillId="0" borderId="1" xfId="0" applyNumberFormat="1" applyFont="1" applyBorder="1" applyAlignment="1" applyProtection="1">
      <alignment vertical="center"/>
    </xf>
    <xf numFmtId="164" fontId="17" fillId="0" borderId="0" xfId="0" applyNumberFormat="1" applyFont="1" applyAlignment="1" applyProtection="1">
      <alignment vertical="center"/>
    </xf>
    <xf numFmtId="164" fontId="20" fillId="0" borderId="1" xfId="0" applyNumberFormat="1" applyFont="1" applyBorder="1" applyAlignment="1" applyProtection="1">
      <alignment vertical="center"/>
    </xf>
    <xf numFmtId="0" fontId="23" fillId="0" borderId="4" xfId="0" applyFont="1" applyBorder="1" applyProtection="1"/>
    <xf numFmtId="0" fontId="17" fillId="0" borderId="4" xfId="0" applyFont="1" applyBorder="1" applyAlignment="1" applyProtection="1">
      <alignment vertical="center"/>
    </xf>
    <xf numFmtId="0" fontId="15" fillId="0" borderId="4" xfId="0" applyFont="1" applyBorder="1" applyAlignment="1" applyProtection="1">
      <alignment horizontal="center" vertical="center"/>
    </xf>
    <xf numFmtId="164" fontId="18" fillId="0" borderId="4" xfId="0" applyNumberFormat="1" applyFont="1" applyBorder="1" applyAlignment="1" applyProtection="1">
      <alignment vertical="center"/>
    </xf>
    <xf numFmtId="0" fontId="0" fillId="0" borderId="0" xfId="0" applyAlignment="1" applyProtection="1"/>
    <xf numFmtId="0" fontId="2" fillId="2" borderId="0" xfId="0" applyFont="1" applyFill="1" applyAlignment="1" applyProtection="1">
      <alignment vertical="center"/>
    </xf>
    <xf numFmtId="0" fontId="0" fillId="2" borderId="0" xfId="0" applyFill="1" applyAlignment="1" applyProtection="1"/>
    <xf numFmtId="0" fontId="6" fillId="0" borderId="0" xfId="0" applyFont="1" applyAlignment="1" applyProtection="1">
      <alignment vertical="center"/>
    </xf>
    <xf numFmtId="0" fontId="30" fillId="0" borderId="6" xfId="0" applyFont="1" applyFill="1" applyBorder="1" applyAlignment="1" applyProtection="1">
      <alignment horizontal="center" vertical="center" wrapText="1"/>
    </xf>
    <xf numFmtId="0" fontId="30" fillId="0" borderId="7" xfId="0" applyFont="1" applyFill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left" vertical="top"/>
    </xf>
    <xf numFmtId="0" fontId="5" fillId="0" borderId="11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center" vertical="center"/>
    </xf>
    <xf numFmtId="0" fontId="30" fillId="0" borderId="13" xfId="0" applyFont="1" applyFill="1" applyBorder="1" applyAlignment="1" applyProtection="1">
      <alignment horizontal="center" vertical="center" wrapText="1"/>
    </xf>
    <xf numFmtId="0" fontId="24" fillId="0" borderId="0" xfId="0" applyFont="1" applyFill="1" applyAlignment="1" applyProtection="1">
      <alignment wrapText="1"/>
    </xf>
    <xf numFmtId="0" fontId="30" fillId="0" borderId="0" xfId="0" applyFont="1" applyFill="1" applyAlignment="1" applyProtection="1">
      <alignment wrapText="1"/>
    </xf>
    <xf numFmtId="0" fontId="29" fillId="0" borderId="0" xfId="0" applyFont="1" applyFill="1" applyAlignment="1" applyProtection="1">
      <alignment wrapText="1"/>
    </xf>
    <xf numFmtId="0" fontId="8" fillId="0" borderId="0" xfId="0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center" vertical="center"/>
    </xf>
    <xf numFmtId="164" fontId="11" fillId="0" borderId="0" xfId="0" applyNumberFormat="1" applyFont="1" applyAlignment="1" applyProtection="1">
      <alignment vertical="center"/>
    </xf>
    <xf numFmtId="167" fontId="11" fillId="0" borderId="0" xfId="0" applyNumberFormat="1" applyFont="1" applyAlignment="1" applyProtection="1">
      <alignment vertical="center"/>
    </xf>
    <xf numFmtId="167" fontId="5" fillId="0" borderId="0" xfId="0" applyNumberFormat="1" applyFont="1" applyAlignment="1" applyProtection="1">
      <alignment vertical="center"/>
    </xf>
    <xf numFmtId="2" fontId="5" fillId="0" borderId="0" xfId="0" applyNumberFormat="1" applyFont="1" applyAlignment="1" applyProtection="1">
      <alignment vertical="center"/>
    </xf>
    <xf numFmtId="0" fontId="11" fillId="0" borderId="2" xfId="0" applyFont="1" applyBorder="1" applyAlignment="1" applyProtection="1">
      <alignment vertical="center"/>
    </xf>
    <xf numFmtId="0" fontId="11" fillId="0" borderId="2" xfId="0" applyFont="1" applyBorder="1" applyAlignment="1" applyProtection="1">
      <alignment horizontal="center" vertical="center"/>
    </xf>
    <xf numFmtId="164" fontId="11" fillId="0" borderId="2" xfId="0" applyNumberFormat="1" applyFont="1" applyBorder="1" applyAlignment="1" applyProtection="1">
      <alignment vertical="center"/>
    </xf>
    <xf numFmtId="167" fontId="11" fillId="0" borderId="2" xfId="0" applyNumberFormat="1" applyFont="1" applyBorder="1" applyAlignment="1" applyProtection="1">
      <alignment vertical="center"/>
    </xf>
    <xf numFmtId="167" fontId="5" fillId="0" borderId="2" xfId="0" applyNumberFormat="1" applyFont="1" applyBorder="1" applyAlignment="1" applyProtection="1">
      <alignment vertical="center"/>
    </xf>
    <xf numFmtId="2" fontId="5" fillId="0" borderId="2" xfId="0" applyNumberFormat="1" applyFont="1" applyBorder="1" applyAlignment="1" applyProtection="1">
      <alignment vertical="center"/>
    </xf>
    <xf numFmtId="0" fontId="30" fillId="0" borderId="13" xfId="0" applyFont="1" applyFill="1" applyBorder="1" applyAlignment="1" applyProtection="1">
      <alignment horizontal="centerContinuous" vertical="center" wrapText="1"/>
    </xf>
    <xf numFmtId="0" fontId="8" fillId="0" borderId="0" xfId="0" applyFont="1" applyAlignment="1" applyProtection="1"/>
    <xf numFmtId="0" fontId="5" fillId="0" borderId="0" xfId="0" applyFont="1" applyAlignment="1" applyProtection="1">
      <alignment vertical="center"/>
    </xf>
    <xf numFmtId="0" fontId="5" fillId="0" borderId="0" xfId="0" applyFont="1" applyAlignment="1" applyProtection="1">
      <alignment horizontal="center" vertical="center"/>
    </xf>
    <xf numFmtId="164" fontId="5" fillId="0" borderId="0" xfId="0" applyNumberFormat="1" applyFont="1" applyAlignment="1" applyProtection="1">
      <alignment vertical="center"/>
    </xf>
    <xf numFmtId="0" fontId="5" fillId="0" borderId="2" xfId="0" applyFont="1" applyBorder="1" applyAlignment="1" applyProtection="1">
      <alignment vertical="center"/>
    </xf>
    <xf numFmtId="0" fontId="5" fillId="0" borderId="2" xfId="0" applyFont="1" applyBorder="1" applyAlignment="1" applyProtection="1">
      <alignment horizontal="center" vertical="center"/>
    </xf>
    <xf numFmtId="0" fontId="0" fillId="2" borderId="0" xfId="0" applyFill="1" applyProtection="1"/>
    <xf numFmtId="168" fontId="11" fillId="0" borderId="0" xfId="0" applyNumberFormat="1" applyFont="1" applyAlignment="1" applyProtection="1">
      <alignment horizontal="center" vertical="center"/>
    </xf>
    <xf numFmtId="166" fontId="5" fillId="0" borderId="0" xfId="0" applyNumberFormat="1" applyFont="1" applyAlignment="1" applyProtection="1">
      <alignment horizontal="right" vertical="center"/>
    </xf>
    <xf numFmtId="165" fontId="5" fillId="0" borderId="0" xfId="0" applyNumberFormat="1" applyFont="1" applyAlignment="1" applyProtection="1">
      <alignment horizontal="right" vertical="center"/>
    </xf>
    <xf numFmtId="165" fontId="11" fillId="0" borderId="0" xfId="0" applyNumberFormat="1" applyFont="1" applyAlignment="1" applyProtection="1">
      <alignment horizontal="right" vertical="center"/>
    </xf>
    <xf numFmtId="168" fontId="11" fillId="0" borderId="2" xfId="0" applyNumberFormat="1" applyFont="1" applyBorder="1" applyAlignment="1" applyProtection="1">
      <alignment horizontal="center" vertical="center"/>
    </xf>
    <xf numFmtId="166" fontId="5" fillId="0" borderId="2" xfId="0" applyNumberFormat="1" applyFont="1" applyBorder="1" applyAlignment="1" applyProtection="1">
      <alignment horizontal="right" vertical="center"/>
    </xf>
    <xf numFmtId="165" fontId="5" fillId="0" borderId="2" xfId="0" applyNumberFormat="1" applyFont="1" applyBorder="1" applyAlignment="1" applyProtection="1">
      <alignment horizontal="right" vertical="center"/>
    </xf>
    <xf numFmtId="165" fontId="11" fillId="0" borderId="2" xfId="0" applyNumberFormat="1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vertical="center"/>
    </xf>
    <xf numFmtId="0" fontId="0" fillId="0" borderId="1" xfId="0" applyBorder="1" applyProtection="1"/>
    <xf numFmtId="166" fontId="5" fillId="0" borderId="1" xfId="0" applyNumberFormat="1" applyFont="1" applyBorder="1" applyAlignment="1" applyProtection="1">
      <alignment vertical="center"/>
    </xf>
    <xf numFmtId="165" fontId="5" fillId="0" borderId="1" xfId="0" applyNumberFormat="1" applyFont="1" applyBorder="1" applyAlignment="1" applyProtection="1">
      <alignment vertical="center"/>
    </xf>
    <xf numFmtId="166" fontId="5" fillId="0" borderId="0" xfId="0" applyNumberFormat="1" applyFont="1" applyAlignment="1" applyProtection="1">
      <alignment vertical="center"/>
    </xf>
    <xf numFmtId="165" fontId="5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66" fontId="3" fillId="3" borderId="0" xfId="0" applyNumberFormat="1" applyFont="1" applyFill="1" applyAlignment="1" applyProtection="1">
      <alignment vertical="center"/>
    </xf>
    <xf numFmtId="165" fontId="3" fillId="3" borderId="0" xfId="0" applyNumberFormat="1" applyFont="1" applyFill="1" applyAlignment="1" applyProtection="1">
      <alignment vertical="center"/>
    </xf>
    <xf numFmtId="166" fontId="3" fillId="0" borderId="0" xfId="0" applyNumberFormat="1" applyFont="1" applyAlignment="1" applyProtection="1">
      <alignment vertical="center"/>
    </xf>
    <xf numFmtId="165" fontId="3" fillId="0" borderId="0" xfId="0" applyNumberFormat="1" applyFont="1" applyAlignment="1" applyProtection="1">
      <alignment vertical="center"/>
    </xf>
    <xf numFmtId="0" fontId="0" fillId="0" borderId="4" xfId="0" applyBorder="1" applyProtection="1"/>
    <xf numFmtId="0" fontId="4" fillId="0" borderId="0" xfId="0" applyFont="1" applyAlignment="1" applyProtection="1">
      <alignment vertical="center"/>
    </xf>
    <xf numFmtId="166" fontId="4" fillId="0" borderId="0" xfId="0" applyNumberFormat="1" applyFont="1" applyAlignment="1" applyProtection="1">
      <alignment vertical="center"/>
    </xf>
    <xf numFmtId="165" fontId="4" fillId="0" borderId="0" xfId="0" applyNumberFormat="1" applyFont="1" applyAlignment="1" applyProtection="1">
      <alignment vertical="center"/>
    </xf>
    <xf numFmtId="167" fontId="18" fillId="0" borderId="0" xfId="0" applyNumberFormat="1" applyFont="1" applyAlignment="1" applyProtection="1">
      <alignment vertical="center"/>
    </xf>
    <xf numFmtId="0" fontId="60" fillId="0" borderId="0" xfId="0" applyFont="1" applyAlignment="1" applyProtection="1"/>
    <xf numFmtId="0" fontId="61" fillId="0" borderId="0" xfId="0" applyFont="1" applyProtection="1"/>
    <xf numFmtId="0" fontId="62" fillId="0" borderId="0" xfId="0" applyFont="1" applyAlignment="1" applyProtection="1"/>
    <xf numFmtId="0" fontId="0" fillId="0" borderId="4" xfId="0" applyBorder="1" applyAlignment="1" applyProtection="1"/>
    <xf numFmtId="0" fontId="14" fillId="0" borderId="0" xfId="0" applyFont="1" applyProtection="1">
      <protection locked="0"/>
    </xf>
    <xf numFmtId="164" fontId="18" fillId="7" borderId="25" xfId="0" applyNumberFormat="1" applyFont="1" applyFill="1" applyBorder="1" applyAlignment="1" applyProtection="1">
      <alignment vertical="center"/>
      <protection locked="0"/>
    </xf>
    <xf numFmtId="167" fontId="18" fillId="7" borderId="28" xfId="0" applyNumberFormat="1" applyFont="1" applyFill="1" applyBorder="1" applyAlignment="1" applyProtection="1">
      <alignment vertical="center"/>
      <protection locked="0"/>
    </xf>
    <xf numFmtId="167" fontId="18" fillId="7" borderId="25" xfId="0" applyNumberFormat="1" applyFont="1" applyFill="1" applyBorder="1" applyAlignment="1" applyProtection="1">
      <alignment vertical="center"/>
      <protection locked="0"/>
    </xf>
    <xf numFmtId="167" fontId="18" fillId="7" borderId="26" xfId="0" applyNumberFormat="1" applyFont="1" applyFill="1" applyBorder="1" applyAlignment="1" applyProtection="1">
      <alignment vertical="center"/>
      <protection locked="0"/>
    </xf>
    <xf numFmtId="165" fontId="18" fillId="7" borderId="26" xfId="0" applyNumberFormat="1" applyFont="1" applyFill="1" applyBorder="1" applyAlignment="1" applyProtection="1">
      <alignment vertical="center"/>
      <protection locked="0"/>
    </xf>
    <xf numFmtId="2" fontId="18" fillId="7" borderId="26" xfId="0" applyNumberFormat="1" applyFont="1" applyFill="1" applyBorder="1" applyAlignment="1" applyProtection="1">
      <alignment vertical="center"/>
      <protection locked="0"/>
    </xf>
    <xf numFmtId="165" fontId="18" fillId="7" borderId="28" xfId="0" applyNumberFormat="1" applyFont="1" applyFill="1" applyBorder="1" applyAlignment="1" applyProtection="1">
      <alignment vertical="center"/>
      <protection locked="0"/>
    </xf>
    <xf numFmtId="165" fontId="18" fillId="7" borderId="25" xfId="0" applyNumberFormat="1" applyFont="1" applyFill="1" applyBorder="1" applyAlignment="1" applyProtection="1">
      <alignment vertical="center"/>
      <protection locked="0"/>
    </xf>
    <xf numFmtId="164" fontId="18" fillId="7" borderId="26" xfId="0" applyNumberFormat="1" applyFont="1" applyFill="1" applyBorder="1" applyAlignment="1" applyProtection="1">
      <alignment vertical="center"/>
      <protection locked="0"/>
    </xf>
    <xf numFmtId="164" fontId="18" fillId="7" borderId="28" xfId="0" applyNumberFormat="1" applyFont="1" applyFill="1" applyBorder="1" applyAlignment="1" applyProtection="1">
      <alignment vertical="center"/>
      <protection locked="0"/>
    </xf>
    <xf numFmtId="10" fontId="18" fillId="7" borderId="26" xfId="0" applyNumberFormat="1" applyFont="1" applyFill="1" applyBorder="1" applyAlignment="1" applyProtection="1">
      <alignment vertical="center"/>
      <protection locked="0"/>
    </xf>
    <xf numFmtId="166" fontId="18" fillId="7" borderId="26" xfId="0" applyNumberFormat="1" applyFont="1" applyFill="1" applyBorder="1" applyAlignment="1" applyProtection="1">
      <alignment vertical="center"/>
      <protection locked="0"/>
    </xf>
    <xf numFmtId="1" fontId="11" fillId="0" borderId="0" xfId="0" applyNumberFormat="1" applyFont="1" applyAlignment="1" applyProtection="1">
      <alignment horizontal="center" vertical="center"/>
    </xf>
    <xf numFmtId="1" fontId="11" fillId="0" borderId="2" xfId="0" applyNumberFormat="1" applyFont="1" applyBorder="1" applyAlignment="1" applyProtection="1">
      <alignment horizontal="center" vertical="center"/>
    </xf>
    <xf numFmtId="0" fontId="30" fillId="0" borderId="25" xfId="0" applyFont="1" applyFill="1" applyBorder="1" applyAlignment="1" applyProtection="1">
      <alignment horizontal="center" vertical="center" wrapText="1"/>
    </xf>
    <xf numFmtId="2" fontId="11" fillId="7" borderId="26" xfId="0" applyNumberFormat="1" applyFont="1" applyFill="1" applyBorder="1" applyAlignment="1" applyProtection="1">
      <alignment vertical="center"/>
      <protection locked="0"/>
    </xf>
    <xf numFmtId="2" fontId="11" fillId="7" borderId="28" xfId="0" applyNumberFormat="1" applyFont="1" applyFill="1" applyBorder="1" applyAlignment="1" applyProtection="1">
      <alignment vertical="center"/>
      <protection locked="0"/>
    </xf>
    <xf numFmtId="173" fontId="11" fillId="7" borderId="67" xfId="0" applyNumberFormat="1" applyFont="1" applyFill="1" applyBorder="1" applyAlignment="1" applyProtection="1">
      <alignment horizontal="center" vertical="center"/>
      <protection locked="0"/>
    </xf>
    <xf numFmtId="173" fontId="11" fillId="7" borderId="68" xfId="0" applyNumberFormat="1" applyFont="1" applyFill="1" applyBorder="1" applyAlignment="1" applyProtection="1">
      <alignment horizontal="center" vertical="center"/>
      <protection locked="0"/>
    </xf>
    <xf numFmtId="173" fontId="11" fillId="7" borderId="69" xfId="0" applyNumberFormat="1" applyFont="1" applyFill="1" applyBorder="1" applyAlignment="1" applyProtection="1">
      <alignment horizontal="center" vertical="center"/>
      <protection locked="0"/>
    </xf>
    <xf numFmtId="1" fontId="11" fillId="8" borderId="5" xfId="0" applyNumberFormat="1" applyFont="1" applyFill="1" applyBorder="1" applyAlignment="1" applyProtection="1">
      <alignment horizontal="center" vertical="center"/>
      <protection locked="0"/>
    </xf>
    <xf numFmtId="173" fontId="11" fillId="7" borderId="70" xfId="0" applyNumberFormat="1" applyFont="1" applyFill="1" applyBorder="1" applyAlignment="1" applyProtection="1">
      <alignment horizontal="center" vertical="center"/>
      <protection locked="0"/>
    </xf>
    <xf numFmtId="173" fontId="11" fillId="7" borderId="26" xfId="0" applyNumberFormat="1" applyFont="1" applyFill="1" applyBorder="1" applyAlignment="1" applyProtection="1">
      <alignment horizontal="center" vertical="center"/>
      <protection locked="0"/>
    </xf>
    <xf numFmtId="173" fontId="11" fillId="7" borderId="28" xfId="0" applyNumberFormat="1" applyFont="1" applyFill="1" applyBorder="1" applyAlignment="1" applyProtection="1">
      <alignment horizontal="center" vertical="center"/>
      <protection locked="0"/>
    </xf>
    <xf numFmtId="166" fontId="40" fillId="7" borderId="71" xfId="0" applyNumberFormat="1" applyFont="1" applyFill="1" applyBorder="1" applyAlignment="1" applyProtection="1">
      <alignment vertical="center"/>
      <protection locked="0"/>
    </xf>
    <xf numFmtId="166" fontId="40" fillId="7" borderId="72" xfId="0" applyNumberFormat="1" applyFont="1" applyFill="1" applyBorder="1" applyAlignment="1" applyProtection="1">
      <alignment vertical="center"/>
      <protection locked="0"/>
    </xf>
    <xf numFmtId="166" fontId="40" fillId="7" borderId="9" xfId="0" applyNumberFormat="1" applyFont="1" applyFill="1" applyBorder="1" applyAlignment="1" applyProtection="1">
      <alignment vertical="center"/>
      <protection locked="0"/>
    </xf>
    <xf numFmtId="166" fontId="40" fillId="7" borderId="10" xfId="0" applyNumberFormat="1" applyFont="1" applyFill="1" applyBorder="1" applyAlignment="1" applyProtection="1">
      <alignment vertical="center"/>
      <protection locked="0"/>
    </xf>
    <xf numFmtId="165" fontId="40" fillId="7" borderId="11" xfId="0" applyNumberFormat="1" applyFont="1" applyFill="1" applyBorder="1" applyAlignment="1" applyProtection="1">
      <alignment vertical="center"/>
      <protection locked="0"/>
    </xf>
    <xf numFmtId="165" fontId="40" fillId="7" borderId="12" xfId="0" applyNumberFormat="1" applyFont="1" applyFill="1" applyBorder="1" applyAlignment="1" applyProtection="1">
      <alignment vertical="center"/>
      <protection locked="0"/>
    </xf>
    <xf numFmtId="0" fontId="63" fillId="0" borderId="0" xfId="0" applyFont="1" applyAlignment="1" applyProtection="1"/>
    <xf numFmtId="184" fontId="40" fillId="0" borderId="0" xfId="0" applyNumberFormat="1" applyFont="1" applyFill="1" applyAlignment="1" applyProtection="1">
      <alignment horizontal="center" vertical="center"/>
      <protection locked="0"/>
    </xf>
    <xf numFmtId="184" fontId="40" fillId="7" borderId="5" xfId="0" applyNumberFormat="1" applyFont="1" applyFill="1" applyBorder="1" applyAlignment="1" applyProtection="1">
      <alignment horizontal="center" vertical="center"/>
      <protection locked="0"/>
    </xf>
    <xf numFmtId="185" fontId="40" fillId="7" borderId="5" xfId="0" applyNumberFormat="1" applyFont="1" applyFill="1" applyBorder="1" applyAlignment="1" applyProtection="1">
      <alignment horizontal="center" vertical="center"/>
      <protection locked="0"/>
    </xf>
    <xf numFmtId="165" fontId="40" fillId="7" borderId="67" xfId="0" applyNumberFormat="1" applyFont="1" applyFill="1" applyBorder="1" applyAlignment="1" applyProtection="1">
      <alignment vertical="center"/>
      <protection locked="0"/>
    </xf>
    <xf numFmtId="165" fontId="40" fillId="7" borderId="68" xfId="0" applyNumberFormat="1" applyFont="1" applyFill="1" applyBorder="1" applyAlignment="1" applyProtection="1">
      <alignment vertical="center"/>
      <protection locked="0"/>
    </xf>
    <xf numFmtId="165" fontId="40" fillId="7" borderId="73" xfId="0" applyNumberFormat="1" applyFont="1" applyFill="1" applyBorder="1" applyAlignment="1" applyProtection="1">
      <alignment vertical="center"/>
      <protection locked="0"/>
    </xf>
    <xf numFmtId="0" fontId="64" fillId="0" borderId="0" xfId="0" applyFont="1" applyAlignment="1" applyProtection="1">
      <alignment vertical="center"/>
    </xf>
    <xf numFmtId="180" fontId="62" fillId="0" borderId="0" xfId="0" applyNumberFormat="1" applyFont="1" applyAlignment="1" applyProtection="1"/>
    <xf numFmtId="181" fontId="62" fillId="0" borderId="0" xfId="0" applyNumberFormat="1" applyFont="1" applyAlignment="1" applyProtection="1"/>
    <xf numFmtId="183" fontId="62" fillId="0" borderId="0" xfId="0" applyNumberFormat="1" applyFont="1" applyAlignment="1" applyProtection="1"/>
    <xf numFmtId="182" fontId="62" fillId="0" borderId="0" xfId="0" applyNumberFormat="1" applyFont="1" applyAlignment="1" applyProtection="1"/>
    <xf numFmtId="0" fontId="58" fillId="0" borderId="13" xfId="0" applyFont="1" applyBorder="1" applyAlignment="1" applyProtection="1"/>
    <xf numFmtId="0" fontId="65" fillId="0" borderId="0" xfId="0" applyFont="1" applyAlignment="1" applyProtection="1"/>
    <xf numFmtId="186" fontId="54" fillId="7" borderId="5" xfId="0" applyNumberFormat="1" applyFont="1" applyFill="1" applyBorder="1" applyAlignment="1" applyProtection="1">
      <alignment horizontal="center"/>
    </xf>
    <xf numFmtId="0" fontId="66" fillId="0" borderId="0" xfId="0" applyFont="1" applyAlignment="1" applyProtection="1">
      <alignment horizontal="center"/>
    </xf>
    <xf numFmtId="0" fontId="67" fillId="0" borderId="0" xfId="0" applyFont="1" applyAlignment="1" applyProtection="1">
      <alignment horizontal="center"/>
    </xf>
    <xf numFmtId="0" fontId="68" fillId="9" borderId="0" xfId="0" applyFont="1" applyFill="1"/>
    <xf numFmtId="0" fontId="69" fillId="9" borderId="0" xfId="0" applyFont="1" applyFill="1"/>
    <xf numFmtId="0" fontId="69" fillId="9" borderId="0" xfId="0" applyFont="1" applyFill="1" applyAlignment="1">
      <alignment horizontal="left" vertical="center"/>
    </xf>
    <xf numFmtId="0" fontId="2" fillId="2" borderId="0" xfId="0" applyFont="1" applyFill="1" applyProtection="1"/>
    <xf numFmtId="0" fontId="70" fillId="0" borderId="0" xfId="0" applyFont="1" applyFill="1" applyBorder="1" applyAlignment="1" applyProtection="1">
      <alignment vertical="top"/>
    </xf>
    <xf numFmtId="0" fontId="70" fillId="0" borderId="0" xfId="0" applyFont="1" applyBorder="1" applyAlignment="1" applyProtection="1">
      <alignment vertical="top"/>
    </xf>
    <xf numFmtId="0" fontId="39" fillId="0" borderId="0" xfId="0" applyFont="1" applyFill="1" applyAlignment="1" applyProtection="1">
      <alignment horizontal="left" vertical="top"/>
    </xf>
    <xf numFmtId="0" fontId="9" fillId="0" borderId="0" xfId="0" applyFont="1" applyFill="1" applyAlignment="1">
      <alignment horizontal="left" vertical="top"/>
    </xf>
    <xf numFmtId="0" fontId="0" fillId="0" borderId="0" xfId="0" applyFill="1" applyAlignment="1" applyProtection="1"/>
    <xf numFmtId="164" fontId="11" fillId="0" borderId="0" xfId="0" applyNumberFormat="1" applyFont="1" applyFill="1" applyAlignment="1" applyProtection="1">
      <alignment vertical="center"/>
    </xf>
    <xf numFmtId="167" fontId="11" fillId="0" borderId="0" xfId="0" applyNumberFormat="1" applyFont="1" applyFill="1" applyAlignment="1" applyProtection="1">
      <alignment vertical="center"/>
    </xf>
    <xf numFmtId="164" fontId="11" fillId="0" borderId="2" xfId="0" applyNumberFormat="1" applyFont="1" applyFill="1" applyBorder="1" applyAlignment="1" applyProtection="1">
      <alignment vertical="center"/>
    </xf>
    <xf numFmtId="167" fontId="11" fillId="0" borderId="2" xfId="0" applyNumberFormat="1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horizontal="left" vertical="top"/>
    </xf>
    <xf numFmtId="0" fontId="25" fillId="0" borderId="0" xfId="0" applyFont="1" applyFill="1" applyAlignment="1" applyProtection="1">
      <alignment horizontal="left" vertical="top"/>
    </xf>
    <xf numFmtId="0" fontId="14" fillId="0" borderId="0" xfId="0" applyFont="1" applyFill="1" applyAlignment="1" applyProtection="1"/>
    <xf numFmtId="0" fontId="26" fillId="0" borderId="0" xfId="0" applyFont="1" applyFill="1" applyAlignment="1" applyProtection="1"/>
    <xf numFmtId="167" fontId="18" fillId="0" borderId="0" xfId="0" applyNumberFormat="1" applyFont="1" applyFill="1" applyAlignment="1" applyProtection="1">
      <alignment vertical="center"/>
    </xf>
    <xf numFmtId="0" fontId="17" fillId="0" borderId="0" xfId="0" applyFont="1" applyFill="1" applyAlignment="1" applyProtection="1">
      <alignment vertical="center"/>
    </xf>
    <xf numFmtId="0" fontId="15" fillId="0" borderId="0" xfId="0" applyFont="1" applyFill="1" applyAlignment="1" applyProtection="1">
      <alignment horizontal="center" vertical="center"/>
    </xf>
    <xf numFmtId="167" fontId="17" fillId="0" borderId="0" xfId="0" applyNumberFormat="1" applyFont="1" applyFill="1" applyAlignment="1" applyProtection="1">
      <alignment vertical="center"/>
    </xf>
    <xf numFmtId="0" fontId="20" fillId="0" borderId="0" xfId="0" applyFont="1" applyFill="1" applyAlignment="1" applyProtection="1">
      <alignment vertical="center"/>
    </xf>
    <xf numFmtId="167" fontId="20" fillId="0" borderId="0" xfId="0" applyNumberFormat="1" applyFont="1" applyFill="1" applyAlignment="1" applyProtection="1">
      <alignment vertical="center"/>
    </xf>
    <xf numFmtId="0" fontId="20" fillId="0" borderId="1" xfId="0" applyFont="1" applyFill="1" applyBorder="1" applyAlignment="1" applyProtection="1">
      <alignment vertical="center"/>
    </xf>
    <xf numFmtId="0" fontId="15" fillId="0" borderId="1" xfId="0" applyFont="1" applyFill="1" applyBorder="1" applyAlignment="1" applyProtection="1">
      <alignment horizontal="center" vertical="center"/>
    </xf>
    <xf numFmtId="167" fontId="20" fillId="0" borderId="1" xfId="0" applyNumberFormat="1" applyFont="1" applyFill="1" applyBorder="1" applyAlignment="1" applyProtection="1">
      <alignment vertical="center"/>
    </xf>
    <xf numFmtId="164" fontId="17" fillId="0" borderId="0" xfId="0" applyNumberFormat="1" applyFont="1" applyFill="1" applyAlignment="1" applyProtection="1">
      <alignment vertical="center"/>
    </xf>
    <xf numFmtId="1" fontId="17" fillId="0" borderId="0" xfId="0" applyNumberFormat="1" applyFont="1" applyFill="1" applyAlignment="1" applyProtection="1">
      <alignment vertical="center"/>
    </xf>
  </cellXfs>
  <cellStyles count="4">
    <cellStyle name="Comma" xfId="2" builtinId="3"/>
    <cellStyle name="Hyperlink" xfId="3" builtinId="8"/>
    <cellStyle name="Normal" xfId="0" builtinId="0"/>
    <cellStyle name="Normal 3" xfId="1" xr:uid="{05426FD5-884F-4FD0-A5E6-FEDE61DCBC82}"/>
  </cellStyles>
  <dxfs count="2">
    <dxf>
      <font>
        <b/>
        <color rgb="FFB5121B"/>
      </font>
    </dxf>
    <dxf>
      <font>
        <b/>
        <color rgb="FF4F7A4A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5A8"/>
      <rgbColor rgb="FF7F7F7F"/>
      <rgbColor rgb="FFA6A6A6"/>
      <rgbColor rgb="FF993366"/>
      <rgbColor rgb="FFFFF9E6"/>
      <rgbColor rgb="FFF2EDE6"/>
      <rgbColor rgb="FF660066"/>
      <rgbColor rgb="FFC8A165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271D2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333399"/>
      <rgbColor rgb="FF6351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3513D"/>
      <color rgb="FFAB9175"/>
      <color rgb="FFD1C3B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Dashboard!$E$72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Dashboard!$B$73:$B$83</c:f>
              <c:strCache>
                <c:ptCount val="11"/>
                <c:pt idx="0">
                  <c:v>52-Week Trading Range</c:v>
                </c:pt>
                <c:pt idx="1">
                  <c:v>Analyst Price Targets</c:v>
                </c:pt>
                <c:pt idx="2">
                  <c:v>Trading Comps – EV/EBITDA 2026F</c:v>
                </c:pt>
                <c:pt idx="3">
                  <c:v>Trading Comps – EV/EBITDA 2027F</c:v>
                </c:pt>
                <c:pt idx="4">
                  <c:v>Trading Comps – P/E 2026F</c:v>
                </c:pt>
                <c:pt idx="5">
                  <c:v>Precedents – EV/LTM EBITDA</c:v>
                </c:pt>
                <c:pt idx="6">
                  <c:v>Precedents – Premiums Paid</c:v>
                </c:pt>
                <c:pt idx="7">
                  <c:v>DCF – Perpetuity Growth</c:v>
                </c:pt>
                <c:pt idx="8">
                  <c:v>DCF – Exit Multiple</c:v>
                </c:pt>
                <c:pt idx="9">
                  <c:v>Current Share Price</c:v>
                </c:pt>
                <c:pt idx="10">
                  <c:v>Blended Fair Value</c:v>
                </c:pt>
              </c:strCache>
            </c:strRef>
          </c:cat>
          <c:val>
            <c:numRef>
              <c:f>Dashboard!$E$73:$E$83</c:f>
              <c:numCache>
                <c:formatCode>#,##0.00_);\(#,##0.00\);\–_)</c:formatCode>
                <c:ptCount val="11"/>
                <c:pt idx="0">
                  <c:v>70.290000000000006</c:v>
                </c:pt>
                <c:pt idx="1">
                  <c:v>69</c:v>
                </c:pt>
                <c:pt idx="2">
                  <c:v>72.020413327920338</c:v>
                </c:pt>
                <c:pt idx="3">
                  <c:v>68.700286968444516</c:v>
                </c:pt>
                <c:pt idx="4">
                  <c:v>70.697801561571154</c:v>
                </c:pt>
                <c:pt idx="5">
                  <c:v>87.376175321076502</c:v>
                </c:pt>
                <c:pt idx="6">
                  <c:v>103.36255</c:v>
                </c:pt>
                <c:pt idx="7">
                  <c:v>76.327196456900509</c:v>
                </c:pt>
                <c:pt idx="8">
                  <c:v>77.715301800875622</c:v>
                </c:pt>
                <c:pt idx="9">
                  <c:v>74.22999999999999</c:v>
                </c:pt>
                <c:pt idx="10">
                  <c:v>83.83022846612181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8-4989-BDED-B501169C8765}"/>
            </c:ext>
          </c:extLst>
        </c:ser>
        <c:ser>
          <c:idx val="1"/>
          <c:order val="1"/>
          <c:tx>
            <c:strRef>
              <c:f>Dashboard!$G$72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63513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7D18-4989-BDED-B501169C8765}"/>
              </c:ext>
            </c:extLst>
          </c:dPt>
          <c:dPt>
            <c:idx val="1"/>
            <c:invertIfNegative val="0"/>
            <c:bubble3D val="0"/>
            <c:spPr>
              <a:solidFill>
                <a:srgbClr val="A6A6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7D18-4989-BDED-B501169C876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D18-4989-BDED-B501169C876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D18-4989-BDED-B501169C876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7D18-4989-BDED-B501169C8765}"/>
              </c:ext>
            </c:extLst>
          </c:dPt>
          <c:dPt>
            <c:idx val="5"/>
            <c:invertIfNegative val="0"/>
            <c:bubble3D val="0"/>
            <c:spPr>
              <a:solidFill>
                <a:srgbClr val="AB917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7D18-4989-BDED-B501169C8765}"/>
              </c:ext>
            </c:extLst>
          </c:dPt>
          <c:dPt>
            <c:idx val="6"/>
            <c:invertIfNegative val="0"/>
            <c:bubble3D val="0"/>
            <c:spPr>
              <a:solidFill>
                <a:srgbClr val="AB917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7D18-4989-BDED-B501169C8765}"/>
              </c:ext>
            </c:extLst>
          </c:dPt>
          <c:dPt>
            <c:idx val="7"/>
            <c:invertIfNegative val="0"/>
            <c:bubble3D val="0"/>
            <c:spPr>
              <a:solidFill>
                <a:srgbClr val="D1C3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0-7D18-4989-BDED-B501169C8765}"/>
              </c:ext>
            </c:extLst>
          </c:dPt>
          <c:dPt>
            <c:idx val="8"/>
            <c:invertIfNegative val="0"/>
            <c:bubble3D val="0"/>
            <c:spPr>
              <a:solidFill>
                <a:srgbClr val="D1C3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2-7D18-4989-BDED-B501169C8765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4-7D18-4989-BDED-B501169C8765}"/>
              </c:ext>
            </c:extLst>
          </c:dPt>
          <c:dPt>
            <c:idx val="10"/>
            <c:invertIfNegative val="0"/>
            <c:bubble3D val="0"/>
            <c:spPr>
              <a:solidFill>
                <a:srgbClr val="008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6-7D18-4989-BDED-B501169C876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18-4989-BDED-B501169C876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18-4989-BDED-B501169C876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18-4989-BDED-B501169C8765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18-4989-BDED-B501169C8765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D18-4989-BDED-B501169C8765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D18-4989-BDED-B501169C8765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D18-4989-BDED-B501169C8765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D18-4989-BDED-B501169C8765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D18-4989-BDED-B501169C8765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D18-4989-BDED-B501169C8765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D18-4989-BDED-B501169C87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Dashboard!$B$73:$B$83</c:f>
              <c:strCache>
                <c:ptCount val="11"/>
                <c:pt idx="0">
                  <c:v>52-Week Trading Range</c:v>
                </c:pt>
                <c:pt idx="1">
                  <c:v>Analyst Price Targets</c:v>
                </c:pt>
                <c:pt idx="2">
                  <c:v>Trading Comps – EV/EBITDA 2026F</c:v>
                </c:pt>
                <c:pt idx="3">
                  <c:v>Trading Comps – EV/EBITDA 2027F</c:v>
                </c:pt>
                <c:pt idx="4">
                  <c:v>Trading Comps – P/E 2026F</c:v>
                </c:pt>
                <c:pt idx="5">
                  <c:v>Precedents – EV/LTM EBITDA</c:v>
                </c:pt>
                <c:pt idx="6">
                  <c:v>Precedents – Premiums Paid</c:v>
                </c:pt>
                <c:pt idx="7">
                  <c:v>DCF – Perpetuity Growth</c:v>
                </c:pt>
                <c:pt idx="8">
                  <c:v>DCF – Exit Multiple</c:v>
                </c:pt>
                <c:pt idx="9">
                  <c:v>Current Share Price</c:v>
                </c:pt>
                <c:pt idx="10">
                  <c:v>Blended Fair Value</c:v>
                </c:pt>
              </c:strCache>
            </c:strRef>
          </c:cat>
          <c:val>
            <c:numRef>
              <c:f>Dashboard!$G$73:$G$83</c:f>
              <c:numCache>
                <c:formatCode>#,##0.00_);\(#,##0.00\);\–_)</c:formatCode>
                <c:ptCount val="11"/>
                <c:pt idx="0">
                  <c:v>16.799999999999997</c:v>
                </c:pt>
                <c:pt idx="1">
                  <c:v>31</c:v>
                </c:pt>
                <c:pt idx="2">
                  <c:v>8.1497817157962515</c:v>
                </c:pt>
                <c:pt idx="3">
                  <c:v>7.1182965220585714</c:v>
                </c:pt>
                <c:pt idx="4">
                  <c:v>12.024961398393515</c:v>
                </c:pt>
                <c:pt idx="5">
                  <c:v>8.5303447945927076</c:v>
                </c:pt>
                <c:pt idx="6">
                  <c:v>4.8509499999999974</c:v>
                </c:pt>
                <c:pt idx="7">
                  <c:v>58.337457745656451</c:v>
                </c:pt>
                <c:pt idx="8">
                  <c:v>9.5429148728970148</c:v>
                </c:pt>
                <c:pt idx="9">
                  <c:v>0.80000000000001137</c:v>
                </c:pt>
                <c:pt idx="10">
                  <c:v>0.80000000000001137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D18-4989-BDED-B501169C8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81317135"/>
        <c:axId val="71963456"/>
      </c:barChart>
      <c:catAx>
        <c:axId val="813171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63456"/>
        <c:crosses val="autoZero"/>
        <c:auto val="1"/>
        <c:lblAlgn val="ctr"/>
        <c:lblOffset val="100"/>
        <c:noMultiLvlLbl val="0"/>
      </c:catAx>
      <c:valAx>
        <c:axId val="71963456"/>
        <c:scaling>
          <c:orientation val="minMax"/>
          <c:max val="140"/>
          <c:min val="40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CHF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17135"/>
        <c:crosses val="max"/>
        <c:crossBetween val="between"/>
        <c:majorUnit val="1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Dashboard!$C$99</c:f>
              <c:strCache>
                <c:ptCount val="1"/>
                <c:pt idx="0">
                  <c:v>EV/EBITDA 26E</c:v>
                </c:pt>
              </c:strCache>
            </c:strRef>
          </c:tx>
          <c:spPr>
            <a:solidFill>
              <a:srgbClr val="BFB5A8"/>
            </a:solidFill>
            <a:ln w="0">
              <a:solidFill>
                <a:srgbClr val="BFB5A8"/>
              </a:solidFill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63513D"/>
              </a:solidFill>
              <a:ln w="0">
                <a:solidFill>
                  <a:srgbClr val="63513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CFE-4028-8976-6A170DBE4C59}"/>
              </c:ext>
            </c:extLst>
          </c:dPt>
          <c:dPt>
            <c:idx val="9"/>
            <c:invertIfNegative val="0"/>
            <c:bubble3D val="0"/>
            <c:spPr>
              <a:solidFill>
                <a:srgbClr val="C8A165"/>
              </a:solidFill>
              <a:ln w="0">
                <a:solidFill>
                  <a:srgbClr val="C8A16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CFE-4028-8976-6A170DBE4C59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FE-4028-8976-6A170DBE4C5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FE-4028-8976-6A170DBE4C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Dashboard!$B$100:$B$109</c:f>
              <c:strCache>
                <c:ptCount val="10"/>
                <c:pt idx="0">
                  <c:v>Danone</c:v>
                </c:pt>
                <c:pt idx="1">
                  <c:v>Unilever</c:v>
                </c:pt>
                <c:pt idx="2">
                  <c:v>PepsiCo</c:v>
                </c:pt>
                <c:pt idx="3">
                  <c:v>Mondelez</c:v>
                </c:pt>
                <c:pt idx="4">
                  <c:v>Coca-Cola</c:v>
                </c:pt>
                <c:pt idx="5">
                  <c:v>Hershey</c:v>
                </c:pt>
                <c:pt idx="6">
                  <c:v>General Mills</c:v>
                </c:pt>
                <c:pt idx="7">
                  <c:v>Kraft Heinz</c:v>
                </c:pt>
                <c:pt idx="8">
                  <c:v>Nestlé</c:v>
                </c:pt>
                <c:pt idx="9">
                  <c:v>Peer median</c:v>
                </c:pt>
              </c:strCache>
            </c:strRef>
          </c:cat>
          <c:val>
            <c:numRef>
              <c:f>Dashboard!$C$100:$C$109</c:f>
              <c:numCache>
                <c:formatCode>0.0\x_);\(0.0"x)";\–_)</c:formatCode>
                <c:ptCount val="10"/>
                <c:pt idx="0">
                  <c:v>9.2149408284023675</c:v>
                </c:pt>
                <c:pt idx="1">
                  <c:v>12.45359349593496</c:v>
                </c:pt>
                <c:pt idx="2">
                  <c:v>12.054606741573034</c:v>
                </c:pt>
                <c:pt idx="3">
                  <c:v>12.644076712328767</c:v>
                </c:pt>
                <c:pt idx="4">
                  <c:v>22.705917159763313</c:v>
                </c:pt>
                <c:pt idx="5">
                  <c:v>11.02068656716418</c:v>
                </c:pt>
                <c:pt idx="6">
                  <c:v>9.043385289819776</c:v>
                </c:pt>
                <c:pt idx="7">
                  <c:v>8.5318037383177572</c:v>
                </c:pt>
                <c:pt idx="8">
                  <c:v>11.715013029889048</c:v>
                </c:pt>
                <c:pt idx="9">
                  <c:v>11.537646654368608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FE-4028-8976-6A170DBE4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606534"/>
        <c:axId val="35314015"/>
      </c:barChart>
      <c:catAx>
        <c:axId val="89606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14015"/>
        <c:crosses val="autoZero"/>
        <c:auto val="1"/>
        <c:lblAlgn val="ctr"/>
        <c:lblOffset val="100"/>
        <c:noMultiLvlLbl val="0"/>
      </c:catAx>
      <c:valAx>
        <c:axId val="35314015"/>
        <c:scaling>
          <c:orientation val="minMax"/>
          <c:min val="0"/>
        </c:scaling>
        <c:delete val="0"/>
        <c:axPos val="l"/>
        <c:numFmt formatCode="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065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Peers</c:v>
          </c:tx>
          <c:spPr>
            <a:ln w="28440">
              <a:noFill/>
            </a:ln>
          </c:spPr>
          <c:marker>
            <c:symbol val="circle"/>
            <c:size val="8"/>
            <c:spPr>
              <a:solidFill>
                <a:srgbClr val="BFB5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Dashboard!$D$100:$D$107</c:f>
              <c:numCache>
                <c:formatCode>0.0%_);\(0.0%\);\–_)</c:formatCode>
                <c:ptCount val="8"/>
                <c:pt idx="0">
                  <c:v>0.17915194346289753</c:v>
                </c:pt>
                <c:pt idx="1">
                  <c:v>0.23251417769376181</c:v>
                </c:pt>
                <c:pt idx="2">
                  <c:v>0.18483904465212878</c:v>
                </c:pt>
                <c:pt idx="3">
                  <c:v>0.18434343434343434</c:v>
                </c:pt>
                <c:pt idx="4">
                  <c:v>0.33665338645418325</c:v>
                </c:pt>
                <c:pt idx="5">
                  <c:v>0.27346938775510204</c:v>
                </c:pt>
                <c:pt idx="6">
                  <c:v>0.19035697728326381</c:v>
                </c:pt>
                <c:pt idx="7">
                  <c:v>0.22153209109730848</c:v>
                </c:pt>
              </c:numCache>
            </c:numRef>
          </c:xVal>
          <c:yVal>
            <c:numRef>
              <c:f>Dashboard!$C$100:$C$107</c:f>
              <c:numCache>
                <c:formatCode>0.0\x_);\(0.0"x)";\–_)</c:formatCode>
                <c:ptCount val="8"/>
                <c:pt idx="0">
                  <c:v>9.2149408284023675</c:v>
                </c:pt>
                <c:pt idx="1">
                  <c:v>12.45359349593496</c:v>
                </c:pt>
                <c:pt idx="2">
                  <c:v>12.054606741573034</c:v>
                </c:pt>
                <c:pt idx="3">
                  <c:v>12.644076712328767</c:v>
                </c:pt>
                <c:pt idx="4">
                  <c:v>22.705917159763313</c:v>
                </c:pt>
                <c:pt idx="5">
                  <c:v>11.02068656716418</c:v>
                </c:pt>
                <c:pt idx="6">
                  <c:v>9.043385289819776</c:v>
                </c:pt>
                <c:pt idx="7">
                  <c:v>8.5318037383177572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0B-415F-896F-913DA1F99763}"/>
            </c:ext>
          </c:extLst>
        </c:ser>
        <c:ser>
          <c:idx val="1"/>
          <c:order val="1"/>
          <c:tx>
            <c:v>Nestlé</c:v>
          </c:tx>
          <c:spPr>
            <a:ln w="28440">
              <a:noFill/>
            </a:ln>
          </c:spPr>
          <c:marker>
            <c:symbol val="diamond"/>
            <c:size val="11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Dashboard!$D$108</c:f>
              <c:numCache>
                <c:formatCode>0.0%_);\(0.0%\);\–_)</c:formatCode>
                <c:ptCount val="1"/>
                <c:pt idx="0">
                  <c:v>0.20160000088950711</c:v>
                </c:pt>
              </c:numCache>
            </c:numRef>
          </c:xVal>
          <c:yVal>
            <c:numRef>
              <c:f>Dashboard!$C$108</c:f>
              <c:numCache>
                <c:formatCode>0.0\x_);\(0.0"x)";\–_)</c:formatCode>
                <c:ptCount val="1"/>
                <c:pt idx="0">
                  <c:v>11.715013029889048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0B-415F-896F-913DA1F9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7468"/>
        <c:axId val="87326462"/>
      </c:scatterChart>
      <c:valAx>
        <c:axId val="7287468"/>
        <c:scaling>
          <c:orientation val="minMax"/>
          <c:max val="0.4"/>
          <c:min val="0.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Adj. EBITDA margin 2026E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26462"/>
        <c:crosses val="autoZero"/>
        <c:crossBetween val="midCat"/>
      </c:valAx>
      <c:valAx>
        <c:axId val="87326462"/>
        <c:scaling>
          <c:orientation val="minMax"/>
          <c:max val="25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EV / EBITDA 2026E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74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232F452C-04AF-42BB-94DA-6322C2C3967B}">
          <cx:dataPt idx="0">
            <cx:spPr>
              <a:solidFill>
                <a:srgbClr val="D1C3B3"/>
              </a:solidFill>
            </cx:spPr>
          </cx:dataPt>
          <cx:dataPt idx="1">
            <cx:spPr>
              <a:solidFill>
                <a:srgbClr val="D1C3B3"/>
              </a:solidFill>
            </cx:spPr>
          </cx:dataPt>
          <cx:dataPt idx="2">
            <cx:spPr>
              <a:solidFill>
                <a:srgbClr val="AB9175"/>
              </a:solidFill>
            </cx:spPr>
          </cx:dataPt>
          <cx:dataPt idx="3">
            <cx:spPr>
              <a:solidFill>
                <a:srgbClr val="AB9175"/>
              </a:solidFill>
            </cx:spPr>
          </cx:dataPt>
          <cx:dataPt idx="4">
            <cx:spPr>
              <a:solidFill>
                <a:srgbClr val="AB9175"/>
              </a:solidFill>
            </cx:spPr>
          </cx:dataPt>
          <cx:dataPt idx="5">
            <cx:spPr>
              <a:solidFill>
                <a:srgbClr val="63513D"/>
              </a:solidFill>
            </cx:spPr>
          </cx:dataPt>
          <cx:dataPt idx="6">
            <cx:spPr>
              <a:solidFill>
                <a:srgbClr val="63513D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5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5</xdr:col>
      <xdr:colOff>618565</xdr:colOff>
      <xdr:row>1</xdr:row>
      <xdr:rowOff>871408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707340-04CA-4A15-B7CA-965A2617A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518" y="188259"/>
          <a:ext cx="4052047" cy="871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8</xdr:col>
      <xdr:colOff>725245</xdr:colOff>
      <xdr:row>27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60960</xdr:colOff>
      <xdr:row>8</xdr:row>
      <xdr:rowOff>0</xdr:rowOff>
    </xdr:from>
    <xdr:to>
      <xdr:col>16</xdr:col>
      <xdr:colOff>788893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725245</xdr:colOff>
      <xdr:row>49</xdr:row>
      <xdr:rowOff>61242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701040</xdr:colOff>
      <xdr:row>30</xdr:row>
      <xdr:rowOff>114300</xdr:rowOff>
    </xdr:from>
    <xdr:to>
      <xdr:col>16</xdr:col>
      <xdr:colOff>701040</xdr:colOff>
      <xdr:row>48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6520" y="9006840"/>
              <a:ext cx="633984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22861</xdr:colOff>
      <xdr:row>0</xdr:row>
      <xdr:rowOff>0</xdr:rowOff>
    </xdr:from>
    <xdr:to>
      <xdr:col>5</xdr:col>
      <xdr:colOff>68581</xdr:colOff>
      <xdr:row>0</xdr:row>
      <xdr:rowOff>704645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376494-4986-4F67-85E7-C7A8022B5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1" y="0"/>
          <a:ext cx="3276600" cy="7046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30481</xdr:colOff>
      <xdr:row>0</xdr:row>
      <xdr:rowOff>0</xdr:rowOff>
    </xdr:from>
    <xdr:to>
      <xdr:col>1</xdr:col>
      <xdr:colOff>3230881</xdr:colOff>
      <xdr:row>0</xdr:row>
      <xdr:rowOff>688258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3D5A6-A9DE-476E-B54C-A3864FF8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0"/>
          <a:ext cx="3200400" cy="688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4</xdr:col>
      <xdr:colOff>708661</xdr:colOff>
      <xdr:row>0</xdr:row>
      <xdr:rowOff>689897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728E2-F67D-4616-9F54-30EE90221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1" y="0"/>
          <a:ext cx="3208020" cy="6898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30481</xdr:colOff>
      <xdr:row>0</xdr:row>
      <xdr:rowOff>0</xdr:rowOff>
    </xdr:from>
    <xdr:to>
      <xdr:col>3</xdr:col>
      <xdr:colOff>388621</xdr:colOff>
      <xdr:row>0</xdr:row>
      <xdr:rowOff>691536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36F3D-5D6A-471E-8510-5D3B3B174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1" y="0"/>
          <a:ext cx="3215640" cy="6915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5</xdr:col>
      <xdr:colOff>22861</xdr:colOff>
      <xdr:row>0</xdr:row>
      <xdr:rowOff>691536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00EDA-CB41-4485-A320-EFCAC7C9E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0"/>
          <a:ext cx="3215640" cy="6915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30481</xdr:colOff>
      <xdr:row>0</xdr:row>
      <xdr:rowOff>0</xdr:rowOff>
    </xdr:from>
    <xdr:to>
      <xdr:col>1</xdr:col>
      <xdr:colOff>3253741</xdr:colOff>
      <xdr:row>0</xdr:row>
      <xdr:rowOff>693174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A556B-7D7E-4EEF-97A7-AA5959EC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1" y="0"/>
          <a:ext cx="3223260" cy="693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2"/>
  <sheetViews>
    <sheetView showGridLines="0" zoomScale="85" zoomScaleNormal="85" workbookViewId="0">
      <selection activeCell="Q18" sqref="Q18"/>
    </sheetView>
  </sheetViews>
  <sheetFormatPr defaultColWidth="8.6640625" defaultRowHeight="14.4" x14ac:dyDescent="0.3"/>
  <cols>
    <col min="1" max="1" width="3" style="107" customWidth="1"/>
    <col min="2" max="2" width="2.44140625" style="107" customWidth="1"/>
    <col min="3" max="3" width="24" style="107" customWidth="1"/>
    <col min="4" max="4" width="14" style="107" customWidth="1"/>
    <col min="5" max="6" width="12" style="107" customWidth="1"/>
    <col min="7" max="7" width="3" style="107" customWidth="1"/>
    <col min="8" max="8" width="15.33203125" style="107" customWidth="1"/>
    <col min="9" max="9" width="13.6640625" style="107" customWidth="1"/>
    <col min="10" max="12" width="10" style="107" customWidth="1"/>
    <col min="13" max="13" width="3" style="107" customWidth="1"/>
    <col min="14" max="16384" width="8.6640625" style="107"/>
  </cols>
  <sheetData>
    <row r="1" spans="2:13" ht="15" thickBot="1" x14ac:dyDescent="0.35"/>
    <row r="2" spans="2:13" ht="71.400000000000006" customHeight="1" x14ac:dyDescent="0.4"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3" ht="16.8" x14ac:dyDescent="0.4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</row>
    <row r="4" spans="2:13" ht="29.4" x14ac:dyDescent="0.65">
      <c r="B4" s="111"/>
      <c r="C4" s="114" t="s">
        <v>0</v>
      </c>
      <c r="D4" s="112"/>
      <c r="E4" s="112"/>
      <c r="F4" s="112"/>
      <c r="G4" s="112"/>
      <c r="H4" s="112"/>
      <c r="I4" s="112"/>
      <c r="J4" s="112"/>
      <c r="K4" s="112"/>
      <c r="L4" s="115" t="s">
        <v>1</v>
      </c>
      <c r="M4" s="113"/>
    </row>
    <row r="5" spans="2:13" ht="16.8" x14ac:dyDescent="0.4"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</row>
    <row r="6" spans="2:13" ht="16.8" x14ac:dyDescent="0.4">
      <c r="B6" s="111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3"/>
    </row>
    <row r="7" spans="2:13" ht="16.8" x14ac:dyDescent="0.4">
      <c r="B7" s="111"/>
      <c r="C7" s="116" t="s">
        <v>2</v>
      </c>
      <c r="D7" s="117"/>
      <c r="E7" s="117"/>
      <c r="F7" s="117"/>
      <c r="G7" s="117"/>
      <c r="H7" s="116" t="s">
        <v>388</v>
      </c>
      <c r="I7" s="118"/>
      <c r="J7" s="112"/>
      <c r="K7" s="112"/>
      <c r="L7" s="117"/>
      <c r="M7" s="113"/>
    </row>
    <row r="8" spans="2:13" ht="4.8" customHeight="1" x14ac:dyDescent="0.4">
      <c r="B8" s="111"/>
      <c r="C8" s="117"/>
      <c r="D8" s="117"/>
      <c r="E8" s="117"/>
      <c r="F8" s="117"/>
      <c r="G8" s="117"/>
      <c r="H8" s="117"/>
      <c r="K8" s="117"/>
      <c r="L8" s="117"/>
      <c r="M8" s="113"/>
    </row>
    <row r="9" spans="2:13" ht="16.8" x14ac:dyDescent="0.4">
      <c r="B9" s="111"/>
      <c r="C9" s="124" t="s">
        <v>3</v>
      </c>
      <c r="D9" s="117"/>
      <c r="E9" s="117"/>
      <c r="F9" s="117"/>
      <c r="G9" s="117"/>
      <c r="H9" s="312" t="s">
        <v>4</v>
      </c>
      <c r="K9" s="117"/>
      <c r="L9" s="119">
        <f>IF(ABS(Valuation!C51-1)&gt;0.0001,1,0)</f>
        <v>0</v>
      </c>
      <c r="M9" s="113"/>
    </row>
    <row r="10" spans="2:13" ht="16.8" x14ac:dyDescent="0.4">
      <c r="B10" s="111"/>
      <c r="C10" s="124" t="s">
        <v>6</v>
      </c>
      <c r="D10" s="117"/>
      <c r="E10" s="117"/>
      <c r="F10" s="117"/>
      <c r="G10" s="117"/>
      <c r="H10" s="312" t="s">
        <v>5</v>
      </c>
      <c r="K10" s="117"/>
      <c r="L10" s="119">
        <f>IF(Valuation!L22&gt;Valuation!M22,1,0)+IF(Valuation!L23&gt;Valuation!M23,1,0)+IF(Valuation!L24&gt;Valuation!M24,1,0)+IF(Valuation!L25&gt;Valuation!M25,1,0)+IF(Valuation!L26&gt;Valuation!M26,1,0)</f>
        <v>0</v>
      </c>
      <c r="M10" s="113"/>
    </row>
    <row r="11" spans="2:13" ht="16.8" x14ac:dyDescent="0.4">
      <c r="B11" s="111"/>
      <c r="C11" s="124" t="s">
        <v>8</v>
      </c>
      <c r="D11" s="117"/>
      <c r="E11" s="117"/>
      <c r="F11" s="117"/>
      <c r="G11" s="117"/>
      <c r="H11" s="312" t="s">
        <v>7</v>
      </c>
      <c r="K11" s="117"/>
      <c r="L11" s="119">
        <f>IF(COUNTIF(Peer_Inputs!Q13:Q20,1)+COUNTIF(Peer_Inputs!Q13:Q20,0)&lt;&gt;8,1,0)+IF(COUNTIF(Precedent_Txns!O8:O14,1)+COUNTIF(Precedent_Txns!O8:O14,0)&lt;&gt;7,1,0)</f>
        <v>0</v>
      </c>
      <c r="M11" s="113"/>
    </row>
    <row r="12" spans="2:13" ht="16.8" x14ac:dyDescent="0.4">
      <c r="B12" s="111"/>
      <c r="C12" s="124" t="s">
        <v>10</v>
      </c>
      <c r="D12" s="117"/>
      <c r="E12" s="117"/>
      <c r="F12" s="117"/>
      <c r="G12" s="117"/>
      <c r="H12" s="312" t="s">
        <v>9</v>
      </c>
      <c r="K12" s="117"/>
      <c r="L12" s="119">
        <f>IF(COUNTIF(Peer_Inputs!Q13:Q20,1)&lt;4,1,0)</f>
        <v>0</v>
      </c>
      <c r="M12" s="113"/>
    </row>
    <row r="13" spans="2:13" ht="16.8" x14ac:dyDescent="0.4">
      <c r="B13" s="111"/>
      <c r="C13" s="124" t="s">
        <v>12</v>
      </c>
      <c r="D13" s="117"/>
      <c r="E13" s="117"/>
      <c r="F13" s="117"/>
      <c r="G13" s="117"/>
      <c r="H13" s="312" t="s">
        <v>11</v>
      </c>
      <c r="K13" s="117"/>
      <c r="L13" s="119">
        <f>IF(COUNTIF(Peer_Inputs!G25:I32,"&lt;=0")&gt;0,1,0)</f>
        <v>0</v>
      </c>
      <c r="M13" s="113"/>
    </row>
    <row r="14" spans="2:13" ht="16.8" x14ac:dyDescent="0.4">
      <c r="B14" s="111"/>
      <c r="C14" s="124" t="s">
        <v>14</v>
      </c>
      <c r="D14" s="117"/>
      <c r="E14" s="117"/>
      <c r="F14" s="117"/>
      <c r="G14" s="117"/>
      <c r="H14" s="312" t="s">
        <v>13</v>
      </c>
      <c r="K14" s="117"/>
      <c r="L14" s="119">
        <f>Nestle_Inputs!F72</f>
        <v>0</v>
      </c>
      <c r="M14" s="113"/>
    </row>
    <row r="15" spans="2:13" ht="16.8" x14ac:dyDescent="0.4">
      <c r="B15" s="111"/>
      <c r="D15" s="117"/>
      <c r="E15" s="117"/>
      <c r="F15" s="117"/>
      <c r="G15" s="117"/>
      <c r="H15" s="313" t="s">
        <v>15</v>
      </c>
      <c r="K15" s="117"/>
      <c r="L15" s="119">
        <f>IF(OR(Valuation!D16&lt;1,Valuation!D16&gt;3,Valuation!D18&lt;1,Valuation!D18&gt;3),1,0)</f>
        <v>0</v>
      </c>
      <c r="M15" s="113"/>
    </row>
    <row r="16" spans="2:13" ht="16.8" x14ac:dyDescent="0.4">
      <c r="B16" s="111"/>
      <c r="C16" s="359" t="s">
        <v>392</v>
      </c>
      <c r="D16" s="112"/>
      <c r="E16" s="117"/>
      <c r="F16" s="117"/>
      <c r="G16" s="117"/>
      <c r="H16" s="117"/>
      <c r="I16" s="117"/>
      <c r="J16" s="117"/>
      <c r="K16" s="117"/>
      <c r="L16" s="117"/>
      <c r="M16" s="113"/>
    </row>
    <row r="17" spans="2:13" ht="4.8" customHeight="1" x14ac:dyDescent="0.4">
      <c r="B17" s="111"/>
      <c r="C17" s="112"/>
      <c r="D17" s="112"/>
      <c r="E17" s="117"/>
      <c r="F17" s="117"/>
      <c r="G17" s="117"/>
      <c r="H17" s="117"/>
      <c r="I17" s="117"/>
      <c r="J17" s="117"/>
      <c r="K17" s="117"/>
      <c r="L17" s="117"/>
      <c r="M17" s="113"/>
    </row>
    <row r="18" spans="2:13" ht="16.8" x14ac:dyDescent="0.4">
      <c r="B18" s="111"/>
      <c r="C18" s="360" t="s">
        <v>393</v>
      </c>
      <c r="D18" s="361" t="s">
        <v>394</v>
      </c>
      <c r="E18" s="117"/>
      <c r="F18" s="117"/>
      <c r="G18" s="117"/>
      <c r="H18" s="117"/>
      <c r="I18" s="117"/>
      <c r="J18" s="117"/>
      <c r="K18" s="117"/>
      <c r="L18" s="117"/>
      <c r="M18" s="113"/>
    </row>
    <row r="19" spans="2:13" ht="16.8" x14ac:dyDescent="0.4">
      <c r="B19" s="111"/>
      <c r="C19" s="360" t="s">
        <v>395</v>
      </c>
      <c r="D19" s="362" t="s">
        <v>396</v>
      </c>
      <c r="E19" s="117"/>
      <c r="F19" s="117"/>
      <c r="G19" s="117"/>
      <c r="H19" s="117"/>
      <c r="I19" s="117"/>
      <c r="J19" s="117"/>
      <c r="K19" s="117"/>
      <c r="L19" s="117"/>
      <c r="M19" s="113"/>
    </row>
    <row r="20" spans="2:13" ht="16.8" x14ac:dyDescent="0.4">
      <c r="B20" s="111"/>
      <c r="C20" s="360" t="s">
        <v>397</v>
      </c>
      <c r="D20" s="363" t="s">
        <v>398</v>
      </c>
      <c r="E20" s="117"/>
      <c r="F20" s="117"/>
      <c r="G20" s="117"/>
      <c r="H20" s="117"/>
      <c r="I20" s="117"/>
      <c r="J20" s="117"/>
      <c r="K20" s="117"/>
      <c r="L20" s="117"/>
      <c r="M20" s="113"/>
    </row>
    <row r="21" spans="2:13" ht="16.8" x14ac:dyDescent="0.4">
      <c r="B21" s="111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3"/>
    </row>
    <row r="22" spans="2:13" ht="16.8" x14ac:dyDescent="0.4">
      <c r="B22" s="111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3"/>
    </row>
    <row r="23" spans="2:13" ht="16.8" x14ac:dyDescent="0.4">
      <c r="B23" s="111"/>
      <c r="C23" s="364" t="s">
        <v>442</v>
      </c>
      <c r="D23" s="120"/>
      <c r="E23" s="120"/>
      <c r="F23" s="120"/>
      <c r="G23" s="120"/>
      <c r="H23" s="120"/>
      <c r="I23" s="120"/>
      <c r="J23" s="120"/>
      <c r="K23" s="120"/>
      <c r="L23" s="120"/>
      <c r="M23" s="113"/>
    </row>
    <row r="24" spans="2:13" ht="16.8" x14ac:dyDescent="0.4">
      <c r="B24" s="111"/>
      <c r="C24" s="365" t="s">
        <v>443</v>
      </c>
      <c r="D24" s="120"/>
      <c r="E24" s="120"/>
      <c r="F24" s="120"/>
      <c r="G24" s="120"/>
      <c r="H24" s="120"/>
      <c r="I24" s="120"/>
      <c r="J24" s="120"/>
      <c r="K24" s="120"/>
      <c r="L24" s="120"/>
      <c r="M24" s="113"/>
    </row>
    <row r="25" spans="2:13" ht="16.8" x14ac:dyDescent="0.4">
      <c r="B25" s="111"/>
      <c r="C25" s="365" t="s">
        <v>444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13"/>
    </row>
    <row r="26" spans="2:13" ht="16.8" x14ac:dyDescent="0.4">
      <c r="B26" s="111"/>
      <c r="C26" s="365" t="s">
        <v>445</v>
      </c>
      <c r="D26" s="120"/>
      <c r="E26" s="120"/>
      <c r="F26" s="120"/>
      <c r="G26" s="120"/>
      <c r="H26" s="120"/>
      <c r="I26" s="120"/>
      <c r="J26" s="120"/>
      <c r="K26" s="120"/>
      <c r="L26" s="120"/>
      <c r="M26" s="113"/>
    </row>
    <row r="27" spans="2:13" ht="16.8" x14ac:dyDescent="0.4">
      <c r="B27" s="111"/>
      <c r="C27" s="366" t="s">
        <v>446</v>
      </c>
      <c r="D27" s="120"/>
      <c r="E27" s="120"/>
      <c r="F27" s="120"/>
      <c r="G27" s="120"/>
      <c r="H27" s="120"/>
      <c r="I27" s="120"/>
      <c r="J27" s="120"/>
      <c r="K27" s="120"/>
      <c r="L27" s="120"/>
      <c r="M27" s="113"/>
    </row>
    <row r="28" spans="2:13" ht="16.8" x14ac:dyDescent="0.4">
      <c r="B28" s="111"/>
      <c r="C28" s="365" t="s">
        <v>447</v>
      </c>
      <c r="D28" s="120"/>
      <c r="E28" s="120"/>
      <c r="F28" s="120"/>
      <c r="G28" s="120"/>
      <c r="H28" s="120"/>
      <c r="I28" s="120"/>
      <c r="J28" s="120"/>
      <c r="K28" s="120"/>
      <c r="L28" s="120"/>
      <c r="M28" s="113"/>
    </row>
    <row r="29" spans="2:13" ht="16.8" x14ac:dyDescent="0.4">
      <c r="B29" s="111"/>
      <c r="C29" s="366" t="s">
        <v>448</v>
      </c>
      <c r="D29" s="120"/>
      <c r="E29" s="120"/>
      <c r="F29" s="120"/>
      <c r="G29" s="120"/>
      <c r="H29" s="120"/>
      <c r="I29" s="120"/>
      <c r="J29" s="120"/>
      <c r="K29" s="120"/>
      <c r="L29" s="120"/>
      <c r="M29" s="113"/>
    </row>
    <row r="30" spans="2:13" ht="16.8" x14ac:dyDescent="0.4">
      <c r="B30" s="111"/>
      <c r="C30" s="366" t="s">
        <v>449</v>
      </c>
      <c r="D30" s="120"/>
      <c r="E30" s="120"/>
      <c r="F30" s="120"/>
      <c r="G30" s="120"/>
      <c r="H30" s="120"/>
      <c r="I30" s="120"/>
      <c r="J30" s="120"/>
      <c r="K30" s="120"/>
      <c r="L30" s="120"/>
      <c r="M30" s="113"/>
    </row>
    <row r="31" spans="2:13" ht="16.8" x14ac:dyDescent="0.4">
      <c r="B31" s="111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13"/>
    </row>
    <row r="32" spans="2:13" ht="17.399999999999999" thickBot="1" x14ac:dyDescent="0.45">
      <c r="B32" s="121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3"/>
    </row>
  </sheetData>
  <sheetProtection selectLockedCells="1"/>
  <hyperlinks>
    <hyperlink ref="C9" location="Dashboard!A1" display="Dashboard" xr:uid="{07AF35CB-E643-4BB5-96AB-3563C0613C22}"/>
    <hyperlink ref="C10" location="Valuation!A1" display="Valuation" xr:uid="{3388DC7B-153F-45D5-86B8-A63A53E8485C}"/>
    <hyperlink ref="C11" location="Trading_Comps!A1" display="Trading_Comps" xr:uid="{9E5E57A3-F53E-480D-96F0-E43018A16CA5}"/>
    <hyperlink ref="C12" location="Precedent_Txns!A1" display="Precedent_Txns" xr:uid="{FD32D877-5745-40A9-BC92-F87315372879}"/>
    <hyperlink ref="C13" location="Peer_Inputs!A1" display="Peer_Inputs" xr:uid="{2EDBC7E7-8D7A-4FB1-8C2F-DEF2F85D26A8}"/>
    <hyperlink ref="C14" location="Nestle_Inputs!A1" display="Nestle_Inputs" xr:uid="{28C6FD10-2C7D-4D96-901B-5EF3B4ED281A}"/>
  </hyperlinks>
  <pageMargins left="0.75" right="0.75" top="1" bottom="1" header="0.511811023622047" footer="0.511811023622047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9"/>
  <sheetViews>
    <sheetView showGridLines="0" zoomScaleNormal="100" workbookViewId="0">
      <pane ySplit="2" topLeftCell="A3" activePane="bottomLeft" state="frozen"/>
      <selection pane="bottomLeft" activeCell="U1" sqref="U1"/>
    </sheetView>
  </sheetViews>
  <sheetFormatPr defaultColWidth="8.6640625" defaultRowHeight="16.8" x14ac:dyDescent="0.4"/>
  <cols>
    <col min="1" max="1" width="2" style="125" customWidth="1"/>
    <col min="2" max="2" width="11" style="125" customWidth="1"/>
    <col min="3" max="3" width="13" style="125" customWidth="1"/>
    <col min="4" max="17" width="11.5546875" style="125" customWidth="1"/>
    <col min="18" max="18" width="3" style="125" customWidth="1"/>
    <col min="19" max="16384" width="8.6640625" style="125"/>
  </cols>
  <sheetData>
    <row r="1" spans="1:20" ht="56.4" customHeight="1" x14ac:dyDescent="0.4">
      <c r="B1" s="126"/>
      <c r="C1" s="127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T1" s="128"/>
    </row>
    <row r="2" spans="1:20" x14ac:dyDescent="0.4">
      <c r="B2" s="367" t="s">
        <v>399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spans="1:20" ht="5.4" customHeight="1" thickBot="1" x14ac:dyDescent="0.45"/>
    <row r="4" spans="1:20" x14ac:dyDescent="0.4">
      <c r="B4" s="131" t="s">
        <v>16</v>
      </c>
      <c r="C4" s="132"/>
      <c r="D4" s="131" t="s">
        <v>368</v>
      </c>
      <c r="E4" s="132"/>
      <c r="F4" s="131" t="s">
        <v>17</v>
      </c>
      <c r="G4" s="132"/>
      <c r="H4" s="131" t="s">
        <v>367</v>
      </c>
      <c r="I4" s="132"/>
      <c r="J4" s="131" t="s">
        <v>379</v>
      </c>
      <c r="K4" s="132"/>
      <c r="L4" s="131" t="s">
        <v>369</v>
      </c>
      <c r="M4" s="132"/>
      <c r="N4" s="131" t="s">
        <v>370</v>
      </c>
      <c r="O4" s="132"/>
      <c r="P4" s="131" t="s">
        <v>378</v>
      </c>
      <c r="Q4" s="132"/>
    </row>
    <row r="5" spans="1:20" s="133" customFormat="1" ht="33.75" customHeight="1" x14ac:dyDescent="0.3">
      <c r="B5" s="134">
        <f>Valuation!D8</f>
        <v>74.63</v>
      </c>
      <c r="C5" s="135"/>
      <c r="D5" s="134">
        <f>H74</f>
        <v>88.23</v>
      </c>
      <c r="E5" s="135"/>
      <c r="F5" s="134">
        <f>Valuation!D52</f>
        <v>84.230228466121815</v>
      </c>
      <c r="G5" s="135"/>
      <c r="H5" s="134">
        <f>$H$80</f>
        <v>97.386660657893898</v>
      </c>
      <c r="I5" s="135"/>
      <c r="J5" s="134">
        <f>G93</f>
        <v>82.38557615729539</v>
      </c>
      <c r="K5" s="135"/>
      <c r="L5" s="136">
        <f>E108</f>
        <v>11.715013029889048</v>
      </c>
      <c r="M5" s="137"/>
      <c r="N5" s="136">
        <f>C109</f>
        <v>11.537646654368608</v>
      </c>
      <c r="O5" s="137"/>
      <c r="P5" s="136">
        <f>Precedent_Txns!L19</f>
        <v>14.298297122724604</v>
      </c>
      <c r="Q5" s="137"/>
    </row>
    <row r="6" spans="1:20" s="138" customFormat="1" ht="18.600000000000001" customHeight="1" x14ac:dyDescent="0.4">
      <c r="B6" s="139" t="s">
        <v>328</v>
      </c>
      <c r="C6" s="140"/>
      <c r="D6" s="139" t="str">
        <f>TEXT(I95,"+0.0%;-0.0%")&amp;" vs price"</f>
        <v>+18.2% vs price</v>
      </c>
      <c r="E6" s="140"/>
      <c r="F6" s="139" t="str">
        <f>TEXT(I96,"+0.0%;-0.0%")&amp;" vs price"</f>
        <v>+12.9% vs price</v>
      </c>
      <c r="G6" s="140"/>
      <c r="H6" s="139" t="str">
        <f>TEXT(I92,"+0.0%;-0.0%")&amp;" vs price"</f>
        <v>+30.5% vs price</v>
      </c>
      <c r="I6" s="140"/>
      <c r="J6" s="139" t="str">
        <f>TEXT(I93,"+0.0%;-0.0%")&amp;" vs price"</f>
        <v>+10.4% vs price</v>
      </c>
      <c r="K6" s="140"/>
      <c r="L6" s="139" t="str">
        <f>TEXT(Trading_Comps!J30,"+0%;-0%")&amp;" vs peer median"</f>
        <v>+2% vs peer median</v>
      </c>
      <c r="M6" s="140"/>
      <c r="N6" s="139" t="str">
        <f>"Implied CHF "&amp;TEXT(Valuation!I30,"0.0")&amp;" ("&amp;TEXT(Valuation!J30,"+0.0%;-0.0%")&amp;")"</f>
        <v>Implied CHF 76.1 (+2.0%)</v>
      </c>
      <c r="O6" s="140"/>
      <c r="P6" s="139" t="str">
        <f>"Implied CHF "&amp;TEXT(G90,"0.0")&amp;" ("&amp;TEXT(I90,"+0.0%;-0.0%")&amp;")"</f>
        <v>Implied CHF 91.6 (+22.8%)</v>
      </c>
      <c r="Q6" s="140"/>
    </row>
    <row r="7" spans="1:20" s="138" customFormat="1" ht="4.2" customHeight="1" x14ac:dyDescent="0.4">
      <c r="B7" s="141"/>
      <c r="C7" s="141"/>
      <c r="T7" s="142"/>
    </row>
    <row r="8" spans="1:20" x14ac:dyDescent="0.4">
      <c r="A8" s="125" t="s">
        <v>328</v>
      </c>
      <c r="B8" s="148" t="s">
        <v>363</v>
      </c>
      <c r="C8" s="149"/>
      <c r="D8" s="149"/>
      <c r="E8" s="149"/>
      <c r="F8" s="150"/>
      <c r="G8" s="150"/>
      <c r="H8" s="150"/>
      <c r="I8" s="144"/>
      <c r="J8" s="144" t="s">
        <v>377</v>
      </c>
      <c r="K8" s="144"/>
      <c r="L8" s="144"/>
      <c r="M8" s="144"/>
      <c r="N8" s="144"/>
      <c r="O8" s="144"/>
      <c r="P8" s="144"/>
      <c r="Q8" s="144"/>
    </row>
    <row r="9" spans="1:20" x14ac:dyDescent="0.4"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</row>
    <row r="10" spans="1:20" x14ac:dyDescent="0.4"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20" x14ac:dyDescent="0.4"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</row>
    <row r="12" spans="1:20" x14ac:dyDescent="0.4"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20" x14ac:dyDescent="0.4"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</row>
    <row r="14" spans="1:20" x14ac:dyDescent="0.4"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</row>
    <row r="15" spans="1:20" x14ac:dyDescent="0.4"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</row>
    <row r="16" spans="1:20" x14ac:dyDescent="0.4"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</row>
    <row r="17" spans="1:17" x14ac:dyDescent="0.4"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x14ac:dyDescent="0.4"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</row>
    <row r="19" spans="1:17" x14ac:dyDescent="0.4"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</row>
    <row r="20" spans="1:17" x14ac:dyDescent="0.4"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</row>
    <row r="21" spans="1:17" x14ac:dyDescent="0.4"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</row>
    <row r="22" spans="1:17" x14ac:dyDescent="0.4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</row>
    <row r="23" spans="1:17" x14ac:dyDescent="0.4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</row>
    <row r="24" spans="1:17" x14ac:dyDescent="0.4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7" x14ac:dyDescent="0.4"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</row>
    <row r="26" spans="1:17" x14ac:dyDescent="0.4"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  <row r="27" spans="1:17" x14ac:dyDescent="0.4"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</row>
    <row r="28" spans="1:17" x14ac:dyDescent="0.4"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</row>
    <row r="30" spans="1:17" x14ac:dyDescent="0.4">
      <c r="A30" s="125" t="s">
        <v>328</v>
      </c>
      <c r="B30" s="148" t="s">
        <v>365</v>
      </c>
      <c r="C30" s="149"/>
      <c r="D30" s="149"/>
      <c r="E30" s="149"/>
      <c r="F30" s="150"/>
      <c r="G30" s="150"/>
      <c r="H30" s="150"/>
      <c r="I30" s="144"/>
      <c r="J30" s="144" t="s">
        <v>380</v>
      </c>
      <c r="K30" s="144"/>
      <c r="L30" s="144"/>
      <c r="M30" s="144"/>
      <c r="N30" s="144"/>
      <c r="O30" s="144"/>
      <c r="P30" s="144"/>
      <c r="Q30" s="144"/>
    </row>
    <row r="41" spans="2:2" x14ac:dyDescent="0.4">
      <c r="B41" s="147"/>
    </row>
    <row r="52" spans="1:17" x14ac:dyDescent="0.4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</row>
    <row r="54" spans="1:17" s="138" customFormat="1" ht="13.8" customHeight="1" x14ac:dyDescent="0.4">
      <c r="A54" s="138" t="s">
        <v>328</v>
      </c>
      <c r="B54" s="143" t="s">
        <v>364</v>
      </c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</row>
    <row r="55" spans="1:17" s="138" customFormat="1" ht="13.8" customHeight="1" x14ac:dyDescent="0.4"/>
    <row r="56" spans="1:17" x14ac:dyDescent="0.4">
      <c r="B56" s="369" t="str">
        <f>"1. Blended fair value CHF "&amp;TEXT(Valuation!D52,"0.0")&amp;"/sh vs current CHF "&amp;TEXT(Valuation!D8,"0.00")&amp;" ("&amp;TEXT(Valuation!D53,"+0.0%;-0.0%")&amp;") -&gt; "&amp;Valuation!D59&amp;". Implied EV/EBITDA 26F "&amp;TEXT(Valuation!D56,"0.0")&amp;"x."</f>
        <v>1. Blended fair value CHF 84.2/sh vs current CHF 74.63 (+12.9%) -&gt; FAIRLY VALUED (within ±15%). Implied EV/EBITDA 26F 13.1x.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</row>
    <row r="57" spans="1:17" x14ac:dyDescent="0.4">
      <c r="B57" s="368" t="str">
        <f>"2. Nestlé trades at "&amp;TEXT(Trading_Comps!J17,"0.0")&amp;"x EV/EBITDA 26F vs peer median "&amp;TEXT(Trading_Comps!J22,"0.0")&amp;"x ("&amp;TEXT(Trading_Comps!J30,"+0%;-0%")&amp;") and Tier 1 median "&amp;TEXT(Trading_Comps!J27,"0.0")&amp;"x: after the 2025-26 de-rating its historical quality premium has largely gone, so peer multiples now point to roughly today's price (Tier 1 EV/EBITDA mid CHF "&amp;TEXT(Valuation!I30,"0.0")&amp;"/sh)."</f>
        <v>2. Nestlé trades at 11.7x EV/EBITDA 26F vs peer median 11.5x (+2%) and Tier 1 median 12.3x: after the 2025-26 de-rating its historical quality premium has largely gone, so peer multiples now point to roughly today's price (Tier 1 EV/EBITDA mid CHF 76.1/sh).</v>
      </c>
      <c r="H57" s="146"/>
      <c r="I57" s="146"/>
      <c r="J57" s="146"/>
      <c r="K57" s="146"/>
      <c r="L57" s="146"/>
      <c r="M57" s="146"/>
      <c r="N57" s="146"/>
      <c r="O57" s="146"/>
      <c r="P57" s="146"/>
      <c r="Q57" s="146"/>
    </row>
    <row r="58" spans="1:17" x14ac:dyDescent="0.4">
      <c r="B58" s="369" t="str">
        <f>"3. The DCF (base CHF "&amp;TEXT(Valuation!I35,"0.0")&amp;"/sh perpetuity; "&amp;TEXT(Valuation!I36,"0.0")&amp;" exit) is the most optimistic intrinsic view – it capitalises the 2027-30 margin recovery from 'Fuel for Growth' that the market is not yet paying for."</f>
        <v>3. The DCF (base CHF 97.4/sh perpetuity; 82.4 exit) is the most optimistic intrinsic view – it capitalises the 2027-30 margin recovery from 'Fuel for Growth' that the market is not yet paying for.</v>
      </c>
      <c r="H58" s="146"/>
      <c r="I58" s="146"/>
      <c r="J58" s="146"/>
      <c r="K58" s="146"/>
      <c r="L58" s="146"/>
      <c r="M58" s="146"/>
      <c r="N58" s="146"/>
      <c r="O58" s="146"/>
      <c r="P58" s="146"/>
      <c r="Q58" s="146"/>
    </row>
    <row r="59" spans="1:17" x14ac:dyDescent="0.4">
      <c r="B59" s="369" t="str">
        <f>"4. Precedents (control) imply CHF "&amp;TEXT(Valuation!G33,"0")&amp;"–"&amp;TEXT(Valuation!H33,"0")&amp;"/sh: a theoretical takeout value only – at EV ~CHF "&amp;TEXT(Nestle_Inputs!D54/1000,"0")&amp;"bn Nestlé is effectively un-acquirable, so precedents carry 0% weight."</f>
        <v>4. Precedents (control) imply CHF 87–96/sh: a theoretical takeout value only – at EV ~CHF 212bn Nestlé is effectively un-acquirable, so precedents carry 0% weight.</v>
      </c>
      <c r="H59" s="146"/>
      <c r="I59" s="146"/>
      <c r="J59" s="146"/>
      <c r="K59" s="146"/>
      <c r="L59" s="146"/>
      <c r="M59" s="146"/>
      <c r="N59" s="146"/>
      <c r="O59" s="146"/>
      <c r="P59" s="146"/>
      <c r="Q59" s="146"/>
    </row>
    <row r="60" spans="1:17" x14ac:dyDescent="0.4">
      <c r="B60" s="368" t="s">
        <v>450</v>
      </c>
      <c r="H60" s="146"/>
      <c r="I60" s="146"/>
      <c r="J60" s="146"/>
      <c r="K60" s="146"/>
      <c r="L60" s="146"/>
      <c r="M60" s="146"/>
      <c r="N60" s="146"/>
      <c r="O60" s="146"/>
      <c r="P60" s="146"/>
      <c r="Q60" s="146"/>
    </row>
    <row r="61" spans="1:17" x14ac:dyDescent="0.4">
      <c r="H61" s="146"/>
      <c r="I61" s="146"/>
      <c r="J61" s="146"/>
      <c r="K61" s="146"/>
      <c r="L61" s="146"/>
      <c r="M61" s="146"/>
      <c r="N61" s="146"/>
      <c r="O61" s="146"/>
      <c r="P61" s="146"/>
      <c r="Q61" s="146"/>
    </row>
    <row r="62" spans="1:17" x14ac:dyDescent="0.4"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</row>
    <row r="69" spans="1:17" x14ac:dyDescent="0.4">
      <c r="A69" s="125" t="s">
        <v>328</v>
      </c>
      <c r="B69" s="152" t="s">
        <v>366</v>
      </c>
      <c r="C69" s="149"/>
      <c r="D69" s="149"/>
      <c r="E69" s="149"/>
      <c r="F69" s="150"/>
      <c r="G69" s="150"/>
      <c r="H69" s="150"/>
      <c r="I69" s="144"/>
      <c r="J69" s="144"/>
      <c r="K69" s="144"/>
      <c r="L69" s="144"/>
      <c r="M69" s="144"/>
      <c r="N69" s="144"/>
      <c r="O69" s="144"/>
      <c r="P69" s="144"/>
      <c r="Q69" s="144"/>
    </row>
    <row r="72" spans="1:17" ht="17.399999999999999" thickBot="1" x14ac:dyDescent="0.45">
      <c r="B72" s="153" t="s">
        <v>18</v>
      </c>
      <c r="C72" s="154"/>
      <c r="D72" s="154"/>
      <c r="E72" s="155" t="s">
        <v>19</v>
      </c>
      <c r="F72" s="155" t="s">
        <v>20</v>
      </c>
      <c r="G72" s="155" t="s">
        <v>362</v>
      </c>
      <c r="H72" s="155" t="s">
        <v>21</v>
      </c>
      <c r="I72" s="156" t="s">
        <v>31</v>
      </c>
    </row>
    <row r="73" spans="1:17" ht="17.399999999999999" thickTop="1" x14ac:dyDescent="0.4">
      <c r="B73" s="157" t="s">
        <v>32</v>
      </c>
      <c r="C73" s="158"/>
      <c r="D73" s="158"/>
      <c r="E73" s="159">
        <f>Valuation!G37</f>
        <v>70.290000000000006</v>
      </c>
      <c r="F73" s="159">
        <f>Valuation!H37</f>
        <v>87.09</v>
      </c>
      <c r="G73" s="159">
        <f t="shared" ref="G73:G83" si="0">F73-E73</f>
        <v>16.799999999999997</v>
      </c>
      <c r="H73" s="159">
        <f>Valuation!I37</f>
        <v>78.69</v>
      </c>
      <c r="I73" s="160" t="s">
        <v>33</v>
      </c>
    </row>
    <row r="74" spans="1:17" x14ac:dyDescent="0.4">
      <c r="B74" s="157" t="s">
        <v>34</v>
      </c>
      <c r="C74" s="158"/>
      <c r="D74" s="158"/>
      <c r="E74" s="159">
        <f>Valuation!G38</f>
        <v>69</v>
      </c>
      <c r="F74" s="159">
        <f>Valuation!H38</f>
        <v>100</v>
      </c>
      <c r="G74" s="159">
        <f t="shared" si="0"/>
        <v>31</v>
      </c>
      <c r="H74" s="159">
        <f>Valuation!I38</f>
        <v>88.23</v>
      </c>
      <c r="I74" s="160" t="s">
        <v>33</v>
      </c>
    </row>
    <row r="75" spans="1:17" x14ac:dyDescent="0.4">
      <c r="B75" s="157" t="s">
        <v>373</v>
      </c>
      <c r="C75" s="158"/>
      <c r="D75" s="158"/>
      <c r="E75" s="159">
        <f>Valuation!G30</f>
        <v>72.020413327920338</v>
      </c>
      <c r="F75" s="159">
        <f>Valuation!H30</f>
        <v>80.170195043716589</v>
      </c>
      <c r="G75" s="159">
        <f t="shared" si="0"/>
        <v>8.1497817157962515</v>
      </c>
      <c r="H75" s="159">
        <f>Valuation!I30</f>
        <v>76.095304185818463</v>
      </c>
      <c r="I75" s="160" t="s">
        <v>35</v>
      </c>
    </row>
    <row r="76" spans="1:17" x14ac:dyDescent="0.4">
      <c r="B76" s="157" t="s">
        <v>374</v>
      </c>
      <c r="C76" s="158"/>
      <c r="D76" s="158"/>
      <c r="E76" s="159">
        <f>Valuation!G31</f>
        <v>68.700286968444516</v>
      </c>
      <c r="F76" s="159">
        <f>Valuation!H31</f>
        <v>75.818583490503087</v>
      </c>
      <c r="G76" s="159">
        <f t="shared" si="0"/>
        <v>7.1182965220585714</v>
      </c>
      <c r="H76" s="159">
        <f>Valuation!I31</f>
        <v>72.259435229473809</v>
      </c>
      <c r="I76" s="160" t="s">
        <v>35</v>
      </c>
    </row>
    <row r="77" spans="1:17" x14ac:dyDescent="0.4">
      <c r="B77" s="157" t="s">
        <v>375</v>
      </c>
      <c r="C77" s="158"/>
      <c r="D77" s="158"/>
      <c r="E77" s="159">
        <f>Valuation!G32</f>
        <v>70.697801561571154</v>
      </c>
      <c r="F77" s="159">
        <f>Valuation!H32</f>
        <v>82.722762959964669</v>
      </c>
      <c r="G77" s="159">
        <f t="shared" si="0"/>
        <v>12.024961398393515</v>
      </c>
      <c r="H77" s="159">
        <f>Valuation!I32</f>
        <v>76.710282260767912</v>
      </c>
      <c r="I77" s="160" t="s">
        <v>35</v>
      </c>
    </row>
    <row r="78" spans="1:17" x14ac:dyDescent="0.4">
      <c r="B78" s="157" t="s">
        <v>36</v>
      </c>
      <c r="C78" s="158"/>
      <c r="D78" s="158"/>
      <c r="E78" s="159">
        <f>Valuation!G33</f>
        <v>87.376175321076502</v>
      </c>
      <c r="F78" s="159">
        <f>Valuation!H33</f>
        <v>95.90652011566921</v>
      </c>
      <c r="G78" s="159">
        <f t="shared" si="0"/>
        <v>8.5303447945927076</v>
      </c>
      <c r="H78" s="159">
        <f>Valuation!I33</f>
        <v>91.641347718372856</v>
      </c>
      <c r="I78" s="160" t="s">
        <v>37</v>
      </c>
    </row>
    <row r="79" spans="1:17" x14ac:dyDescent="0.4">
      <c r="B79" s="157" t="s">
        <v>38</v>
      </c>
      <c r="C79" s="158"/>
      <c r="D79" s="158"/>
      <c r="E79" s="159">
        <f>Valuation!G34</f>
        <v>103.36255</v>
      </c>
      <c r="F79" s="159">
        <f>Valuation!H34</f>
        <v>108.2135</v>
      </c>
      <c r="G79" s="159">
        <f t="shared" si="0"/>
        <v>4.8509499999999974</v>
      </c>
      <c r="H79" s="159">
        <f>Valuation!I34</f>
        <v>105.788025</v>
      </c>
      <c r="I79" s="160" t="s">
        <v>37</v>
      </c>
    </row>
    <row r="80" spans="1:17" x14ac:dyDescent="0.4">
      <c r="B80" s="157" t="s">
        <v>39</v>
      </c>
      <c r="C80" s="158"/>
      <c r="D80" s="158"/>
      <c r="E80" s="159">
        <f>Valuation!G35</f>
        <v>76.327196456900509</v>
      </c>
      <c r="F80" s="159">
        <f>Valuation!H35</f>
        <v>134.66465420255696</v>
      </c>
      <c r="G80" s="159">
        <f t="shared" si="0"/>
        <v>58.337457745656451</v>
      </c>
      <c r="H80" s="159">
        <f>Valuation!I35</f>
        <v>97.386660657893898</v>
      </c>
      <c r="I80" s="160" t="s">
        <v>40</v>
      </c>
    </row>
    <row r="81" spans="2:9" x14ac:dyDescent="0.4">
      <c r="B81" s="157" t="s">
        <v>41</v>
      </c>
      <c r="C81" s="158"/>
      <c r="D81" s="158"/>
      <c r="E81" s="159">
        <f>Valuation!G36</f>
        <v>77.715301800875622</v>
      </c>
      <c r="F81" s="159">
        <f>Valuation!H36</f>
        <v>87.258216673772637</v>
      </c>
      <c r="G81" s="159">
        <f t="shared" si="0"/>
        <v>9.5429148728970148</v>
      </c>
      <c r="H81" s="159">
        <f>Valuation!I36</f>
        <v>82.38557615729539</v>
      </c>
      <c r="I81" s="160" t="s">
        <v>40</v>
      </c>
    </row>
    <row r="82" spans="2:9" x14ac:dyDescent="0.4">
      <c r="B82" s="161" t="s">
        <v>42</v>
      </c>
      <c r="C82" s="158"/>
      <c r="D82" s="158"/>
      <c r="E82" s="159">
        <f>Valuation!D8-0.4</f>
        <v>74.22999999999999</v>
      </c>
      <c r="F82" s="159">
        <f>Valuation!D8+0.4</f>
        <v>75.03</v>
      </c>
      <c r="G82" s="159">
        <f t="shared" si="0"/>
        <v>0.80000000000001137</v>
      </c>
      <c r="H82" s="162">
        <f>Valuation!D8</f>
        <v>74.63</v>
      </c>
      <c r="I82" s="160" t="s">
        <v>43</v>
      </c>
    </row>
    <row r="83" spans="2:9" x14ac:dyDescent="0.4">
      <c r="B83" s="163" t="s">
        <v>44</v>
      </c>
      <c r="C83" s="164"/>
      <c r="D83" s="164"/>
      <c r="E83" s="165">
        <f>Valuation!D52-0.4</f>
        <v>83.83022846612181</v>
      </c>
      <c r="F83" s="165">
        <f>Valuation!D52+0.4</f>
        <v>84.630228466121821</v>
      </c>
      <c r="G83" s="165">
        <f t="shared" si="0"/>
        <v>0.80000000000001137</v>
      </c>
      <c r="H83" s="166">
        <f>Valuation!D52</f>
        <v>84.230228466121815</v>
      </c>
      <c r="I83" s="167" t="s">
        <v>43</v>
      </c>
    </row>
    <row r="84" spans="2:9" x14ac:dyDescent="0.4">
      <c r="B84" s="147"/>
    </row>
    <row r="86" spans="2:9" ht="24" customHeight="1" thickBot="1" x14ac:dyDescent="0.45">
      <c r="B86" s="153" t="s">
        <v>18</v>
      </c>
      <c r="C86" s="153"/>
      <c r="D86" s="153"/>
      <c r="E86" s="154" t="s">
        <v>19</v>
      </c>
      <c r="F86" s="155" t="s">
        <v>20</v>
      </c>
      <c r="G86" s="155" t="s">
        <v>21</v>
      </c>
      <c r="H86" s="155" t="s">
        <v>22</v>
      </c>
      <c r="I86" s="156" t="s">
        <v>23</v>
      </c>
    </row>
    <row r="87" spans="2:9" ht="17.399999999999999" thickTop="1" x14ac:dyDescent="0.4">
      <c r="B87" s="168" t="str">
        <f>Valuation!B30</f>
        <v>Trading comps – EV/EBITDA 2026F</v>
      </c>
      <c r="C87" s="158"/>
      <c r="D87" s="158"/>
      <c r="E87" s="159">
        <f>Valuation!G30</f>
        <v>72.020413327920338</v>
      </c>
      <c r="F87" s="159">
        <f>Valuation!H30</f>
        <v>80.170195043716589</v>
      </c>
      <c r="G87" s="162">
        <f>Valuation!I30</f>
        <v>76.095304185818463</v>
      </c>
      <c r="H87" s="169">
        <f>Valuation!C42</f>
        <v>0.2</v>
      </c>
      <c r="I87" s="170">
        <f>Valuation!J30</f>
        <v>1.9634251451406515E-2</v>
      </c>
    </row>
    <row r="88" spans="2:9" x14ac:dyDescent="0.4">
      <c r="B88" s="168" t="str">
        <f>Valuation!B31</f>
        <v>Trading comps – EV/EBITDA 2027F</v>
      </c>
      <c r="C88" s="158"/>
      <c r="D88" s="158"/>
      <c r="E88" s="159">
        <f>Valuation!G31</f>
        <v>68.700286968444516</v>
      </c>
      <c r="F88" s="159">
        <f>Valuation!H31</f>
        <v>75.818583490503087</v>
      </c>
      <c r="G88" s="162">
        <f>Valuation!I31</f>
        <v>72.259435229473809</v>
      </c>
      <c r="H88" s="169">
        <f>Valuation!C43</f>
        <v>0.1</v>
      </c>
      <c r="I88" s="170">
        <f>Valuation!J31</f>
        <v>-3.1764233827230148E-2</v>
      </c>
    </row>
    <row r="89" spans="2:9" x14ac:dyDescent="0.4">
      <c r="B89" s="168" t="str">
        <f>Valuation!B32</f>
        <v>Trading comps – P/E 2026F</v>
      </c>
      <c r="C89" s="158"/>
      <c r="D89" s="158"/>
      <c r="E89" s="159">
        <f>Valuation!G32</f>
        <v>70.697801561571154</v>
      </c>
      <c r="F89" s="159">
        <f>Valuation!H32</f>
        <v>82.722762959964669</v>
      </c>
      <c r="G89" s="162">
        <f>Valuation!I32</f>
        <v>76.710282260767912</v>
      </c>
      <c r="H89" s="169">
        <f>Valuation!C44</f>
        <v>0.2</v>
      </c>
      <c r="I89" s="170">
        <f>Valuation!J32</f>
        <v>2.7874611560604556E-2</v>
      </c>
    </row>
    <row r="90" spans="2:9" x14ac:dyDescent="0.4">
      <c r="B90" s="168" t="str">
        <f>Valuation!B33</f>
        <v>Precedents – EV/LTM EBITDA</v>
      </c>
      <c r="C90" s="158"/>
      <c r="D90" s="158"/>
      <c r="E90" s="159">
        <f>Valuation!G33</f>
        <v>87.376175321076502</v>
      </c>
      <c r="F90" s="159">
        <f>Valuation!H33</f>
        <v>95.90652011566921</v>
      </c>
      <c r="G90" s="162">
        <f>Valuation!I33</f>
        <v>91.641347718372856</v>
      </c>
      <c r="H90" s="169">
        <f>Valuation!C45</f>
        <v>0</v>
      </c>
      <c r="I90" s="170">
        <f>Valuation!J33</f>
        <v>0.22794248584179089</v>
      </c>
    </row>
    <row r="91" spans="2:9" x14ac:dyDescent="0.4">
      <c r="B91" s="168" t="str">
        <f>Valuation!B34</f>
        <v>Precedents – Premiums paid</v>
      </c>
      <c r="C91" s="158"/>
      <c r="D91" s="158"/>
      <c r="E91" s="159">
        <f>Valuation!G34</f>
        <v>103.36255</v>
      </c>
      <c r="F91" s="159">
        <f>Valuation!H34</f>
        <v>108.2135</v>
      </c>
      <c r="G91" s="162">
        <f>Valuation!I34</f>
        <v>105.788025</v>
      </c>
      <c r="H91" s="169">
        <f>Valuation!C46</f>
        <v>0</v>
      </c>
      <c r="I91" s="170">
        <f>Valuation!J34</f>
        <v>0.4175000000000002</v>
      </c>
    </row>
    <row r="92" spans="2:9" x14ac:dyDescent="0.4">
      <c r="B92" s="168" t="str">
        <f>Valuation!B35</f>
        <v>DCF – Perpetuity growth</v>
      </c>
      <c r="C92" s="158"/>
      <c r="D92" s="158"/>
      <c r="E92" s="159">
        <f>Valuation!G35</f>
        <v>76.327196456900509</v>
      </c>
      <c r="F92" s="159">
        <f>Valuation!H35</f>
        <v>134.66465420255696</v>
      </c>
      <c r="G92" s="162">
        <f>Valuation!I35</f>
        <v>97.386660657893898</v>
      </c>
      <c r="H92" s="169">
        <f>Valuation!C47</f>
        <v>0.35</v>
      </c>
      <c r="I92" s="170">
        <f>Valuation!J35</f>
        <v>0.30492644590505025</v>
      </c>
    </row>
    <row r="93" spans="2:9" x14ac:dyDescent="0.4">
      <c r="B93" s="168" t="str">
        <f>Valuation!B36</f>
        <v>DCF – Exit multiple</v>
      </c>
      <c r="C93" s="158"/>
      <c r="D93" s="158"/>
      <c r="E93" s="159">
        <f>Valuation!G36</f>
        <v>77.715301800875622</v>
      </c>
      <c r="F93" s="159">
        <f>Valuation!H36</f>
        <v>87.258216673772637</v>
      </c>
      <c r="G93" s="162">
        <f>Valuation!I36</f>
        <v>82.38557615729539</v>
      </c>
      <c r="H93" s="169">
        <f>Valuation!C48</f>
        <v>0.15</v>
      </c>
      <c r="I93" s="170">
        <f>Valuation!J36</f>
        <v>0.10392035585281256</v>
      </c>
    </row>
    <row r="94" spans="2:9" x14ac:dyDescent="0.4">
      <c r="B94" s="168" t="str">
        <f>Valuation!B37</f>
        <v>52-week trading range</v>
      </c>
      <c r="C94" s="158"/>
      <c r="D94" s="158"/>
      <c r="E94" s="159">
        <f>Valuation!G37</f>
        <v>70.290000000000006</v>
      </c>
      <c r="F94" s="159">
        <f>Valuation!H37</f>
        <v>87.09</v>
      </c>
      <c r="G94" s="162">
        <f>Valuation!I37</f>
        <v>78.69</v>
      </c>
      <c r="H94" s="169">
        <f>Valuation!C49</f>
        <v>0</v>
      </c>
      <c r="I94" s="170">
        <f>Valuation!J37</f>
        <v>5.4401715127964767E-2</v>
      </c>
    </row>
    <row r="95" spans="2:9" x14ac:dyDescent="0.4">
      <c r="B95" s="168" t="str">
        <f>Valuation!B38</f>
        <v>Analyst price targets</v>
      </c>
      <c r="C95" s="158"/>
      <c r="D95" s="158"/>
      <c r="E95" s="159">
        <f>Valuation!G38</f>
        <v>69</v>
      </c>
      <c r="F95" s="159">
        <f>Valuation!H38</f>
        <v>100</v>
      </c>
      <c r="G95" s="162">
        <f>Valuation!I38</f>
        <v>88.23</v>
      </c>
      <c r="H95" s="169">
        <f>Valuation!C50</f>
        <v>0</v>
      </c>
      <c r="I95" s="170">
        <f>Valuation!J38</f>
        <v>0.1822323462414579</v>
      </c>
    </row>
    <row r="96" spans="2:9" x14ac:dyDescent="0.4">
      <c r="B96" s="171" t="s">
        <v>24</v>
      </c>
      <c r="C96" s="172"/>
      <c r="D96" s="172"/>
      <c r="E96" s="173"/>
      <c r="F96" s="173"/>
      <c r="G96" s="174">
        <f>Valuation!D52</f>
        <v>84.230228466121815</v>
      </c>
      <c r="H96" s="175">
        <f>Valuation!C51</f>
        <v>1</v>
      </c>
      <c r="I96" s="176">
        <f>Valuation!D53</f>
        <v>0.12863765866436849</v>
      </c>
    </row>
    <row r="98" spans="2:5" x14ac:dyDescent="0.4">
      <c r="B98" s="177"/>
    </row>
    <row r="99" spans="2:5" ht="30.6" thickBot="1" x14ac:dyDescent="0.45">
      <c r="B99" s="178" t="s">
        <v>25</v>
      </c>
      <c r="C99" s="155" t="s">
        <v>26</v>
      </c>
      <c r="D99" s="155" t="s">
        <v>27</v>
      </c>
      <c r="E99" s="156" t="s">
        <v>28</v>
      </c>
    </row>
    <row r="100" spans="2:5" ht="17.399999999999999" thickTop="1" x14ac:dyDescent="0.4">
      <c r="B100" s="179" t="str">
        <f>Trading_Comps!B8</f>
        <v>Danone</v>
      </c>
      <c r="C100" s="180">
        <f>Trading_Comps!J8</f>
        <v>9.2149408284023675</v>
      </c>
      <c r="D100" s="181">
        <f>Trading_Comps!H37</f>
        <v>0.17915194346289753</v>
      </c>
      <c r="E100" s="182"/>
    </row>
    <row r="101" spans="2:5" x14ac:dyDescent="0.4">
      <c r="B101" s="179" t="str">
        <f>Trading_Comps!B9</f>
        <v>Unilever</v>
      </c>
      <c r="C101" s="180">
        <f>Trading_Comps!J9</f>
        <v>12.45359349593496</v>
      </c>
      <c r="D101" s="181">
        <f>Trading_Comps!H38</f>
        <v>0.23251417769376181</v>
      </c>
      <c r="E101" s="182"/>
    </row>
    <row r="102" spans="2:5" x14ac:dyDescent="0.4">
      <c r="B102" s="179" t="str">
        <f>Trading_Comps!B10</f>
        <v>PepsiCo</v>
      </c>
      <c r="C102" s="180">
        <f>Trading_Comps!J10</f>
        <v>12.054606741573034</v>
      </c>
      <c r="D102" s="181">
        <f>Trading_Comps!H39</f>
        <v>0.18483904465212878</v>
      </c>
      <c r="E102" s="182"/>
    </row>
    <row r="103" spans="2:5" x14ac:dyDescent="0.4">
      <c r="B103" s="179" t="str">
        <f>Trading_Comps!B11</f>
        <v>Mondelez</v>
      </c>
      <c r="C103" s="180">
        <f>Trading_Comps!J11</f>
        <v>12.644076712328767</v>
      </c>
      <c r="D103" s="181">
        <f>Trading_Comps!H40</f>
        <v>0.18434343434343434</v>
      </c>
      <c r="E103" s="182"/>
    </row>
    <row r="104" spans="2:5" x14ac:dyDescent="0.4">
      <c r="B104" s="179" t="str">
        <f>Trading_Comps!B12</f>
        <v>Coca-Cola</v>
      </c>
      <c r="C104" s="180">
        <f>Trading_Comps!J12</f>
        <v>22.705917159763313</v>
      </c>
      <c r="D104" s="181">
        <f>Trading_Comps!H41</f>
        <v>0.33665338645418325</v>
      </c>
      <c r="E104" s="182"/>
    </row>
    <row r="105" spans="2:5" x14ac:dyDescent="0.4">
      <c r="B105" s="179" t="str">
        <f>Trading_Comps!B13</f>
        <v>Hershey</v>
      </c>
      <c r="C105" s="180">
        <f>Trading_Comps!J13</f>
        <v>11.02068656716418</v>
      </c>
      <c r="D105" s="181">
        <f>Trading_Comps!H42</f>
        <v>0.27346938775510204</v>
      </c>
      <c r="E105" s="182"/>
    </row>
    <row r="106" spans="2:5" x14ac:dyDescent="0.4">
      <c r="B106" s="179" t="str">
        <f>Trading_Comps!B14</f>
        <v>General Mills</v>
      </c>
      <c r="C106" s="180">
        <f>Trading_Comps!J14</f>
        <v>9.043385289819776</v>
      </c>
      <c r="D106" s="181">
        <f>Trading_Comps!H43</f>
        <v>0.19035697728326381</v>
      </c>
      <c r="E106" s="182"/>
    </row>
    <row r="107" spans="2:5" x14ac:dyDescent="0.4">
      <c r="B107" s="179" t="str">
        <f>Trading_Comps!B15</f>
        <v>Kraft Heinz</v>
      </c>
      <c r="C107" s="180">
        <f>Trading_Comps!J15</f>
        <v>8.5318037383177572</v>
      </c>
      <c r="D107" s="181">
        <f>Trading_Comps!H44</f>
        <v>0.22153209109730848</v>
      </c>
      <c r="E107" s="182"/>
    </row>
    <row r="108" spans="2:5" x14ac:dyDescent="0.4">
      <c r="B108" s="183" t="s">
        <v>29</v>
      </c>
      <c r="C108" s="184">
        <f>Trading_Comps!J17</f>
        <v>11.715013029889048</v>
      </c>
      <c r="D108" s="185">
        <f>Trading_Comps!H45</f>
        <v>0.20160000088950711</v>
      </c>
      <c r="E108" s="186">
        <f>Trading_Comps!J17</f>
        <v>11.715013029889048</v>
      </c>
    </row>
    <row r="109" spans="2:5" x14ac:dyDescent="0.4">
      <c r="B109" s="187" t="s">
        <v>30</v>
      </c>
      <c r="C109" s="188">
        <f>Trading_Comps!J22</f>
        <v>11.537646654368608</v>
      </c>
      <c r="D109" s="189"/>
      <c r="E109" s="190"/>
    </row>
    <row r="110" spans="2:5" x14ac:dyDescent="0.4">
      <c r="B110" s="191"/>
    </row>
    <row r="112" spans="2:5" s="192" customFormat="1" x14ac:dyDescent="0.4">
      <c r="C112" s="192" t="s">
        <v>101</v>
      </c>
    </row>
    <row r="113" spans="2:7" ht="33.6" x14ac:dyDescent="0.4">
      <c r="B113" s="193" t="s">
        <v>381</v>
      </c>
      <c r="C113" s="194">
        <f>Valuation!E47</f>
        <v>34.085331230262859</v>
      </c>
      <c r="E113" s="145"/>
      <c r="F113" s="145"/>
      <c r="G113" s="145"/>
    </row>
    <row r="114" spans="2:7" ht="50.4" x14ac:dyDescent="0.4">
      <c r="B114" s="193" t="s">
        <v>382</v>
      </c>
      <c r="C114" s="194">
        <f>Valuation!E48</f>
        <v>12.357836423594309</v>
      </c>
      <c r="E114" s="145"/>
      <c r="F114" s="145"/>
      <c r="G114" s="145"/>
    </row>
    <row r="115" spans="2:7" ht="50.4" x14ac:dyDescent="0.4">
      <c r="B115" s="193" t="s">
        <v>383</v>
      </c>
      <c r="C115" s="194">
        <f>Valuation!E42</f>
        <v>15.219060837163694</v>
      </c>
      <c r="E115" s="145"/>
      <c r="F115" s="145"/>
      <c r="G115" s="145"/>
    </row>
    <row r="116" spans="2:7" ht="50.4" x14ac:dyDescent="0.4">
      <c r="B116" s="193" t="s">
        <v>384</v>
      </c>
      <c r="C116" s="194">
        <f>Valuation!E43</f>
        <v>7.2259435229473814</v>
      </c>
      <c r="E116" s="145"/>
      <c r="F116" s="145"/>
      <c r="G116" s="145"/>
    </row>
    <row r="117" spans="2:7" ht="33.6" x14ac:dyDescent="0.4">
      <c r="B117" s="193" t="s">
        <v>385</v>
      </c>
      <c r="C117" s="194">
        <f>Valuation!E44</f>
        <v>15.342056452153583</v>
      </c>
      <c r="E117" s="145"/>
      <c r="F117" s="145"/>
      <c r="G117" s="145"/>
    </row>
    <row r="118" spans="2:7" ht="33.6" x14ac:dyDescent="0.4">
      <c r="B118" s="193" t="s">
        <v>386</v>
      </c>
      <c r="C118" s="194">
        <f>Valuation!D52</f>
        <v>84.230228466121815</v>
      </c>
    </row>
    <row r="119" spans="2:7" ht="33.6" x14ac:dyDescent="0.4">
      <c r="B119" s="193" t="s">
        <v>387</v>
      </c>
      <c r="C119" s="194">
        <f>Dashboard!H82</f>
        <v>74.63</v>
      </c>
    </row>
  </sheetData>
  <sheetProtection selectLockedCells="1"/>
  <conditionalFormatting sqref="B7:C7">
    <cfRule type="expression" dxfId="1" priority="39">
      <formula>LEFT(B7,1)="▲"</formula>
    </cfRule>
    <cfRule type="expression" dxfId="0" priority="40">
      <formula>LEFT(B7,1)="▼"</formula>
    </cfRule>
  </conditionalFormatting>
  <pageMargins left="0.75" right="0.75" top="1" bottom="1" header="0.511811023622047" footer="0.511811023622047"/>
  <pageSetup paperSize="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61"/>
  <sheetViews>
    <sheetView showGridLines="0" zoomScale="85" zoomScaleNormal="85" workbookViewId="0">
      <pane ySplit="1" topLeftCell="A2" activePane="bottomLeft" state="frozen"/>
      <selection pane="bottomLeft" activeCell="N12" sqref="N12"/>
    </sheetView>
  </sheetViews>
  <sheetFormatPr defaultColWidth="8.6640625" defaultRowHeight="16.8" outlineLevelCol="1" x14ac:dyDescent="0.4"/>
  <cols>
    <col min="1" max="1" width="4.5546875" style="125" customWidth="1"/>
    <col min="2" max="2" width="70.109375" style="125" customWidth="1"/>
    <col min="3" max="3" width="12" style="125" customWidth="1"/>
    <col min="4" max="4" width="11" style="125" customWidth="1"/>
    <col min="5" max="5" width="12.88671875" style="125" customWidth="1"/>
    <col min="6" max="13" width="11" style="125" customWidth="1"/>
    <col min="14" max="14" width="13.5546875" style="125" customWidth="1"/>
    <col min="15" max="15" width="11.5546875" style="146" hidden="1" customWidth="1" outlineLevel="1"/>
    <col min="16" max="16" width="8.6640625" style="125" hidden="1" customWidth="1" outlineLevel="1"/>
    <col min="17" max="17" width="8.6640625" style="125" collapsed="1"/>
    <col min="18" max="16384" width="8.6640625" style="125"/>
  </cols>
  <sheetData>
    <row r="1" spans="1:19" ht="56.4" customHeight="1" x14ac:dyDescent="0.4">
      <c r="B1" s="126"/>
      <c r="C1" s="127"/>
      <c r="D1" s="126"/>
      <c r="E1" s="126"/>
      <c r="F1" s="126"/>
      <c r="G1" s="126"/>
      <c r="H1" s="126"/>
      <c r="I1" s="126"/>
      <c r="J1" s="126"/>
      <c r="K1" s="126"/>
      <c r="L1" s="126"/>
      <c r="M1" s="126"/>
      <c r="O1" s="128" t="s">
        <v>389</v>
      </c>
      <c r="S1" s="128"/>
    </row>
    <row r="3" spans="1:19" x14ac:dyDescent="0.4">
      <c r="A3" s="125" t="s">
        <v>328</v>
      </c>
      <c r="B3" s="129" t="s">
        <v>361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5" spans="1:19" x14ac:dyDescent="0.4">
      <c r="B5" s="230" t="s">
        <v>324</v>
      </c>
    </row>
    <row r="7" spans="1:19" x14ac:dyDescent="0.4">
      <c r="B7" s="195" t="s">
        <v>352</v>
      </c>
      <c r="C7" s="195" t="s">
        <v>46</v>
      </c>
      <c r="D7" s="195" t="s">
        <v>47</v>
      </c>
      <c r="O7" s="196"/>
    </row>
    <row r="8" spans="1:19" x14ac:dyDescent="0.4">
      <c r="B8" s="197" t="s">
        <v>45</v>
      </c>
      <c r="C8" s="198" t="s">
        <v>48</v>
      </c>
      <c r="D8" s="207">
        <f>Nestle_Inputs!D41</f>
        <v>74.63</v>
      </c>
    </row>
    <row r="9" spans="1:19" x14ac:dyDescent="0.4">
      <c r="B9" s="197" t="s">
        <v>49</v>
      </c>
      <c r="C9" s="198" t="s">
        <v>50</v>
      </c>
      <c r="D9" s="203">
        <f>Nestle_Inputs!D42</f>
        <v>2573</v>
      </c>
    </row>
    <row r="10" spans="1:19" x14ac:dyDescent="0.4">
      <c r="B10" s="197" t="s">
        <v>51</v>
      </c>
      <c r="C10" s="198"/>
      <c r="D10" s="203">
        <f>Nestle_Inputs!D52</f>
        <v>-20386.480100000001</v>
      </c>
    </row>
    <row r="11" spans="1:19" x14ac:dyDescent="0.4">
      <c r="B11" s="197" t="s">
        <v>52</v>
      </c>
      <c r="C11" s="198"/>
      <c r="D11" s="203">
        <f>Nestle_Inputs!F22</f>
        <v>18022</v>
      </c>
      <c r="O11" s="199" t="s">
        <v>53</v>
      </c>
    </row>
    <row r="12" spans="1:19" x14ac:dyDescent="0.4">
      <c r="B12" s="197" t="s">
        <v>54</v>
      </c>
      <c r="C12" s="198"/>
      <c r="D12" s="203">
        <f>Nestle_Inputs!G22</f>
        <v>18131.39</v>
      </c>
    </row>
    <row r="13" spans="1:19" x14ac:dyDescent="0.4">
      <c r="B13" s="197" t="s">
        <v>55</v>
      </c>
      <c r="C13" s="198"/>
      <c r="D13" s="203">
        <f>Nestle_Inputs!H22</f>
        <v>18174.784800000001</v>
      </c>
    </row>
    <row r="14" spans="1:19" x14ac:dyDescent="0.4">
      <c r="B14" s="197" t="s">
        <v>56</v>
      </c>
      <c r="C14" s="198"/>
      <c r="D14" s="203">
        <f>Nestle_Inputs!G28</f>
        <v>9833.2190819999996</v>
      </c>
    </row>
    <row r="15" spans="1:19" x14ac:dyDescent="0.4">
      <c r="B15" s="197" t="s">
        <v>57</v>
      </c>
      <c r="C15" s="198"/>
      <c r="D15" s="203">
        <f>Nestle_Inputs!D51</f>
        <v>37092.519899999999</v>
      </c>
    </row>
    <row r="16" spans="1:19" x14ac:dyDescent="0.4">
      <c r="B16" s="197" t="s">
        <v>357</v>
      </c>
      <c r="C16" s="198" t="s">
        <v>58</v>
      </c>
      <c r="D16" s="349">
        <v>2</v>
      </c>
      <c r="O16" s="199" t="s">
        <v>59</v>
      </c>
    </row>
    <row r="17" spans="1:15" ht="6.6" customHeight="1" x14ac:dyDescent="0.4">
      <c r="B17" s="197"/>
      <c r="C17" s="198"/>
      <c r="D17" s="348"/>
      <c r="O17" s="199"/>
    </row>
    <row r="18" spans="1:15" x14ac:dyDescent="0.4">
      <c r="B18" s="197" t="s">
        <v>358</v>
      </c>
      <c r="C18" s="198" t="s">
        <v>58</v>
      </c>
      <c r="D18" s="350">
        <v>2</v>
      </c>
      <c r="O18" s="370" t="s">
        <v>400</v>
      </c>
    </row>
    <row r="21" spans="1:15" ht="30" customHeight="1" x14ac:dyDescent="0.4">
      <c r="A21" s="125" t="s">
        <v>328</v>
      </c>
      <c r="B21" s="200" t="s">
        <v>354</v>
      </c>
      <c r="C21" s="200" t="s">
        <v>60</v>
      </c>
      <c r="D21" s="200" t="s">
        <v>61</v>
      </c>
      <c r="E21" s="200" t="s">
        <v>62</v>
      </c>
      <c r="F21" s="200" t="s">
        <v>63</v>
      </c>
      <c r="G21" s="200" t="s">
        <v>64</v>
      </c>
      <c r="H21" s="200" t="s">
        <v>65</v>
      </c>
      <c r="I21" s="200" t="s">
        <v>66</v>
      </c>
      <c r="J21" s="200" t="s">
        <v>67</v>
      </c>
      <c r="K21" s="200" t="s">
        <v>68</v>
      </c>
      <c r="L21" s="201" t="s">
        <v>69</v>
      </c>
      <c r="M21" s="202" t="s">
        <v>70</v>
      </c>
    </row>
    <row r="22" spans="1:15" x14ac:dyDescent="0.4">
      <c r="B22" s="197" t="s">
        <v>71</v>
      </c>
      <c r="C22" s="203">
        <f>D12</f>
        <v>18131.39</v>
      </c>
      <c r="D22" s="204">
        <f>Trading_Comps!J23</f>
        <v>9.1720519437567205</v>
      </c>
      <c r="E22" s="204">
        <f>Trading_Comps!J22</f>
        <v>11.537646654368608</v>
      </c>
      <c r="F22" s="204">
        <f>Trading_Comps!J20</f>
        <v>12.501214300033412</v>
      </c>
      <c r="G22" s="204">
        <f>Trading_Comps!J28</f>
        <v>11.344690263280366</v>
      </c>
      <c r="H22" s="204">
        <f>Trading_Comps!J27</f>
        <v>12.254100118753996</v>
      </c>
      <c r="I22" s="204">
        <f>Trading_Comps!J26</f>
        <v>12.501214300033412</v>
      </c>
      <c r="J22" s="341">
        <v>11</v>
      </c>
      <c r="K22" s="342">
        <v>13</v>
      </c>
      <c r="L22" s="205">
        <f>CHOOSE($D$16,D22,G22,J22)</f>
        <v>11.344690263280366</v>
      </c>
      <c r="M22" s="206">
        <f>CHOOSE($D$16,F22,I22,K22)</f>
        <v>12.501214300033412</v>
      </c>
      <c r="O22" s="199" t="s">
        <v>72</v>
      </c>
    </row>
    <row r="23" spans="1:15" x14ac:dyDescent="0.4">
      <c r="B23" s="197" t="s">
        <v>73</v>
      </c>
      <c r="C23" s="203">
        <f>D13</f>
        <v>18174.784800000001</v>
      </c>
      <c r="D23" s="204">
        <f>Trading_Comps!K23</f>
        <v>8.9223139302059487</v>
      </c>
      <c r="E23" s="204">
        <f>Trading_Comps!K22</f>
        <v>10.92439133177149</v>
      </c>
      <c r="F23" s="204">
        <f>Trading_Comps!K20</f>
        <v>11.855309308590243</v>
      </c>
      <c r="G23" s="204">
        <f>Trading_Comps!K28</f>
        <v>10.847573747877759</v>
      </c>
      <c r="H23" s="204">
        <f>Trading_Comps!K27</f>
        <v>11.68484400330852</v>
      </c>
      <c r="I23" s="204">
        <f>Trading_Comps!K26</f>
        <v>11.855309308590243</v>
      </c>
      <c r="J23" s="343">
        <v>10.5</v>
      </c>
      <c r="K23" s="344">
        <v>12.5</v>
      </c>
      <c r="L23" s="205">
        <f>CHOOSE($D$16,D23,G23,J23)</f>
        <v>10.847573747877759</v>
      </c>
      <c r="M23" s="206">
        <f>CHOOSE($D$16,F23,I23,K23)</f>
        <v>11.855309308590243</v>
      </c>
    </row>
    <row r="24" spans="1:15" x14ac:dyDescent="0.4">
      <c r="B24" s="197" t="s">
        <v>74</v>
      </c>
      <c r="C24" s="203">
        <f>D14</f>
        <v>9833.2190819999996</v>
      </c>
      <c r="D24" s="204">
        <f>Trading_Comps!P23</f>
        <v>13.378606965174129</v>
      </c>
      <c r="E24" s="204">
        <f>Trading_Comps!P22</f>
        <v>16.191274696620198</v>
      </c>
      <c r="F24" s="204">
        <f>Trading_Comps!P20</f>
        <v>19.119945355191255</v>
      </c>
      <c r="G24" s="204">
        <f>Trading_Comps!P28</f>
        <v>14.726909093585329</v>
      </c>
      <c r="H24" s="204">
        <f>Trading_Comps!P27</f>
        <v>16.191274696620198</v>
      </c>
      <c r="I24" s="204">
        <f>Trading_Comps!P26</f>
        <v>17.873409280355652</v>
      </c>
      <c r="J24" s="343">
        <v>15</v>
      </c>
      <c r="K24" s="344">
        <v>18</v>
      </c>
      <c r="L24" s="205">
        <f>CHOOSE($D$16,D24,G24,J24)</f>
        <v>14.726909093585329</v>
      </c>
      <c r="M24" s="206">
        <f>CHOOSE($D$16,F24,I24,K24)</f>
        <v>17.873409280355652</v>
      </c>
      <c r="O24" s="199" t="s">
        <v>75</v>
      </c>
    </row>
    <row r="25" spans="1:15" x14ac:dyDescent="0.4">
      <c r="B25" s="197" t="s">
        <v>36</v>
      </c>
      <c r="C25" s="203">
        <f>D11</f>
        <v>18022</v>
      </c>
      <c r="D25" s="204">
        <f>Precedent_Txns!L20</f>
        <v>13.410181315561516</v>
      </c>
      <c r="E25" s="204">
        <f>Precedent_Txns!L19</f>
        <v>14.298297122724604</v>
      </c>
      <c r="F25" s="204">
        <f>Precedent_Txns!L17</f>
        <v>16.637591365920514</v>
      </c>
      <c r="G25" s="204">
        <f>Precedent_Txns!L25</f>
        <v>13.605891643609469</v>
      </c>
      <c r="H25" s="204">
        <f>Precedent_Txns!L24</f>
        <v>14.049949547191014</v>
      </c>
      <c r="I25" s="204">
        <f>Precedent_Txns!L23</f>
        <v>14.823768525003709</v>
      </c>
      <c r="J25" s="343">
        <v>13</v>
      </c>
      <c r="K25" s="344">
        <v>16</v>
      </c>
      <c r="L25" s="205">
        <f>CHOOSE($D$18,D25,G25,J25)</f>
        <v>13.605891643609469</v>
      </c>
      <c r="M25" s="206">
        <f>CHOOSE($D$18,F25,I25,K25)</f>
        <v>14.823768525003709</v>
      </c>
    </row>
    <row r="26" spans="1:15" x14ac:dyDescent="0.4">
      <c r="B26" s="197" t="s">
        <v>76</v>
      </c>
      <c r="C26" s="207">
        <f>D8</f>
        <v>74.63</v>
      </c>
      <c r="D26" s="208">
        <f>Precedent_Txns!N20</f>
        <v>0.34750000000000003</v>
      </c>
      <c r="E26" s="208">
        <f>Precedent_Txns!N19</f>
        <v>0.42000000000000004</v>
      </c>
      <c r="F26" s="208">
        <f>Precedent_Txns!N17</f>
        <v>0.45500000000000002</v>
      </c>
      <c r="G26" s="208">
        <f>Precedent_Txns!N25</f>
        <v>0.38500000000000001</v>
      </c>
      <c r="H26" s="208">
        <f>Precedent_Txns!N24</f>
        <v>0.44</v>
      </c>
      <c r="I26" s="208">
        <f>Precedent_Txns!N23</f>
        <v>0.45</v>
      </c>
      <c r="J26" s="345">
        <v>0.3</v>
      </c>
      <c r="K26" s="346">
        <v>0.45</v>
      </c>
      <c r="L26" s="209">
        <f>CHOOSE($D$18,D26,G26,J26)</f>
        <v>0.38500000000000001</v>
      </c>
      <c r="M26" s="210">
        <f>CHOOSE($D$18,F26,I26,K26)</f>
        <v>0.45</v>
      </c>
      <c r="O26" s="199" t="s">
        <v>77</v>
      </c>
    </row>
    <row r="29" spans="1:15" ht="55.8" customHeight="1" x14ac:dyDescent="0.4">
      <c r="A29" s="125" t="s">
        <v>328</v>
      </c>
      <c r="B29" s="200" t="s">
        <v>355</v>
      </c>
      <c r="C29" s="200" t="s">
        <v>78</v>
      </c>
      <c r="D29" s="200" t="s">
        <v>79</v>
      </c>
      <c r="E29" s="200" t="s">
        <v>80</v>
      </c>
      <c r="F29" s="200" t="s">
        <v>81</v>
      </c>
      <c r="G29" s="200" t="s">
        <v>82</v>
      </c>
      <c r="H29" s="200" t="s">
        <v>83</v>
      </c>
      <c r="I29" s="200" t="s">
        <v>21</v>
      </c>
      <c r="J29" s="200" t="s">
        <v>84</v>
      </c>
      <c r="K29" s="200" t="s">
        <v>85</v>
      </c>
      <c r="L29" s="200" t="s">
        <v>86</v>
      </c>
      <c r="M29" s="197"/>
    </row>
    <row r="30" spans="1:15" x14ac:dyDescent="0.4">
      <c r="B30" s="197" t="s">
        <v>371</v>
      </c>
      <c r="C30" s="203">
        <f>L22*C22</f>
        <v>205695.003592739</v>
      </c>
      <c r="D30" s="203">
        <f>M22*C22</f>
        <v>226664.3919474828</v>
      </c>
      <c r="E30" s="203">
        <f>C30+$D$10</f>
        <v>185308.52349273901</v>
      </c>
      <c r="F30" s="203">
        <f>D30+$D$10</f>
        <v>206277.91184748278</v>
      </c>
      <c r="G30" s="207">
        <f t="shared" ref="G30:H36" si="0">E30/$D$9</f>
        <v>72.020413327920338</v>
      </c>
      <c r="H30" s="207">
        <f t="shared" si="0"/>
        <v>80.170195043716589</v>
      </c>
      <c r="I30" s="211">
        <f>AVERAGE(G30:H30)</f>
        <v>76.095304185818463</v>
      </c>
      <c r="J30" s="208">
        <f>I30/$D$8-1</f>
        <v>1.9634251451406515E-2</v>
      </c>
      <c r="K30" s="204">
        <f t="shared" ref="K30:K38" si="1">(I30*$D$9-$D$10)/$D$12</f>
        <v>11.92295228165689</v>
      </c>
      <c r="L30" s="212" t="s">
        <v>87</v>
      </c>
      <c r="O30" s="199" t="s">
        <v>88</v>
      </c>
    </row>
    <row r="31" spans="1:15" x14ac:dyDescent="0.4">
      <c r="B31" s="197" t="s">
        <v>372</v>
      </c>
      <c r="C31" s="203">
        <f>L23*C23</f>
        <v>197152.31846980774</v>
      </c>
      <c r="D31" s="203">
        <f>M23*C23</f>
        <v>215467.69542106448</v>
      </c>
      <c r="E31" s="203">
        <f>C31+$D$10</f>
        <v>176765.83836980775</v>
      </c>
      <c r="F31" s="203">
        <f>D31+$D$10</f>
        <v>195081.21532106446</v>
      </c>
      <c r="G31" s="207">
        <f t="shared" si="0"/>
        <v>68.700286968444516</v>
      </c>
      <c r="H31" s="207">
        <f t="shared" si="0"/>
        <v>75.818583490503087</v>
      </c>
      <c r="I31" s="211">
        <f>AVERAGE(G31:H31)</f>
        <v>72.259435229473809</v>
      </c>
      <c r="J31" s="208">
        <f t="shared" ref="J31:J38" si="2">I31/$D$8-1</f>
        <v>-3.1764233827230148E-2</v>
      </c>
      <c r="K31" s="204">
        <f t="shared" si="1"/>
        <v>11.378609524445514</v>
      </c>
      <c r="L31" s="212" t="s">
        <v>87</v>
      </c>
    </row>
    <row r="32" spans="1:15" x14ac:dyDescent="0.4">
      <c r="B32" s="197" t="s">
        <v>376</v>
      </c>
      <c r="C32" s="203">
        <f>E32-$D$10</f>
        <v>202291.92351792258</v>
      </c>
      <c r="D32" s="203">
        <f>F32-$D$10</f>
        <v>233232.14919598907</v>
      </c>
      <c r="E32" s="203">
        <f>L24*C24+$D$15</f>
        <v>181905.44341792259</v>
      </c>
      <c r="F32" s="203">
        <f>M24*C24+$D$15</f>
        <v>212845.66909598908</v>
      </c>
      <c r="G32" s="207">
        <f t="shared" si="0"/>
        <v>70.697801561571154</v>
      </c>
      <c r="H32" s="207">
        <f t="shared" si="0"/>
        <v>82.722762959964669</v>
      </c>
      <c r="I32" s="211">
        <f>AVERAGE(G32:H32)</f>
        <v>76.710282260767912</v>
      </c>
      <c r="J32" s="208">
        <f t="shared" si="2"/>
        <v>2.7874611560604556E-2</v>
      </c>
      <c r="K32" s="204">
        <f t="shared" si="1"/>
        <v>12.010222953505265</v>
      </c>
      <c r="L32" s="212" t="s">
        <v>87</v>
      </c>
    </row>
    <row r="33" spans="1:15" x14ac:dyDescent="0.4">
      <c r="B33" s="197" t="s">
        <v>36</v>
      </c>
      <c r="C33" s="203">
        <f>L25*C25</f>
        <v>245205.37920112986</v>
      </c>
      <c r="D33" s="203">
        <f>M25*C25</f>
        <v>267153.95635761687</v>
      </c>
      <c r="E33" s="203">
        <f>C33+$D$10</f>
        <v>224818.89910112985</v>
      </c>
      <c r="F33" s="203">
        <f>D33+$D$10</f>
        <v>246767.47625761689</v>
      </c>
      <c r="G33" s="207">
        <f t="shared" si="0"/>
        <v>87.376175321076502</v>
      </c>
      <c r="H33" s="207">
        <f t="shared" si="0"/>
        <v>95.90652011566921</v>
      </c>
      <c r="I33" s="211">
        <f>AVERAGE(G33:H33)</f>
        <v>91.641347718372856</v>
      </c>
      <c r="J33" s="208">
        <f t="shared" si="2"/>
        <v>0.22794248584179089</v>
      </c>
      <c r="K33" s="204">
        <f t="shared" si="1"/>
        <v>14.129069408322989</v>
      </c>
      <c r="L33" s="212" t="s">
        <v>89</v>
      </c>
      <c r="O33" s="199" t="s">
        <v>90</v>
      </c>
    </row>
    <row r="34" spans="1:15" x14ac:dyDescent="0.4">
      <c r="B34" s="213" t="s">
        <v>91</v>
      </c>
      <c r="C34" s="214">
        <f>E34-$D$10</f>
        <v>286338.32124999998</v>
      </c>
      <c r="D34" s="214">
        <f>F34-$D$10</f>
        <v>298819.81559999997</v>
      </c>
      <c r="E34" s="214">
        <f>C26*(1+L26)*$D$9</f>
        <v>265951.84114999999</v>
      </c>
      <c r="F34" s="214">
        <f>C26*(1+M26)*$D$9</f>
        <v>278433.33549999999</v>
      </c>
      <c r="G34" s="165">
        <f t="shared" si="0"/>
        <v>103.36255</v>
      </c>
      <c r="H34" s="165">
        <f t="shared" si="0"/>
        <v>108.2135</v>
      </c>
      <c r="I34" s="166">
        <f>AVERAGE(G34:H34)</f>
        <v>105.788025</v>
      </c>
      <c r="J34" s="215">
        <f t="shared" si="2"/>
        <v>0.4175000000000002</v>
      </c>
      <c r="K34" s="216">
        <f t="shared" si="1"/>
        <v>16.136604442626847</v>
      </c>
      <c r="L34" s="217" t="s">
        <v>89</v>
      </c>
    </row>
    <row r="35" spans="1:15" x14ac:dyDescent="0.4">
      <c r="B35" s="197" t="s">
        <v>92</v>
      </c>
      <c r="C35" s="203">
        <f>Nestle_Inputs!D67</f>
        <v>216776.356583605</v>
      </c>
      <c r="D35" s="203">
        <f>Nestle_Inputs!F67</f>
        <v>366878.63536317903</v>
      </c>
      <c r="E35" s="203">
        <f>C35+$D$10</f>
        <v>196389.87648360501</v>
      </c>
      <c r="F35" s="203">
        <f>D35+$D$10</f>
        <v>346492.15526317904</v>
      </c>
      <c r="G35" s="207">
        <f t="shared" si="0"/>
        <v>76.327196456900509</v>
      </c>
      <c r="H35" s="207">
        <f t="shared" si="0"/>
        <v>134.66465420255696</v>
      </c>
      <c r="I35" s="211">
        <f>(Nestle_Inputs!E67+$D$10)/$D$9</f>
        <v>97.386660657893898</v>
      </c>
      <c r="J35" s="208">
        <f t="shared" si="2"/>
        <v>0.30492644590505025</v>
      </c>
      <c r="K35" s="204">
        <f t="shared" si="1"/>
        <v>14.944378669961926</v>
      </c>
      <c r="L35" s="212" t="s">
        <v>93</v>
      </c>
      <c r="O35" s="199" t="s">
        <v>94</v>
      </c>
    </row>
    <row r="36" spans="1:15" x14ac:dyDescent="0.4">
      <c r="B36" s="213" t="s">
        <v>95</v>
      </c>
      <c r="C36" s="214">
        <f>Nestle_Inputs!D68</f>
        <v>220347.95163365299</v>
      </c>
      <c r="D36" s="214">
        <f>Nestle_Inputs!F68</f>
        <v>244901.87160161699</v>
      </c>
      <c r="E36" s="214">
        <f>C36+$D$10</f>
        <v>199961.47153365298</v>
      </c>
      <c r="F36" s="214">
        <f>D36+$D$10</f>
        <v>224515.39150161698</v>
      </c>
      <c r="G36" s="165">
        <f t="shared" si="0"/>
        <v>77.715301800875622</v>
      </c>
      <c r="H36" s="165">
        <f t="shared" si="0"/>
        <v>87.258216673772637</v>
      </c>
      <c r="I36" s="166">
        <f>(Nestle_Inputs!E68+$D$10)/$D$9</f>
        <v>82.38557615729539</v>
      </c>
      <c r="J36" s="215">
        <f t="shared" si="2"/>
        <v>0.10392035585281256</v>
      </c>
      <c r="K36" s="216">
        <f t="shared" si="1"/>
        <v>12.81559591143983</v>
      </c>
      <c r="L36" s="217" t="s">
        <v>93</v>
      </c>
    </row>
    <row r="37" spans="1:15" x14ac:dyDescent="0.4">
      <c r="B37" s="197" t="s">
        <v>96</v>
      </c>
      <c r="G37" s="207">
        <f>Nestle_Inputs!D56</f>
        <v>70.290000000000006</v>
      </c>
      <c r="H37" s="207">
        <f>Nestle_Inputs!D57</f>
        <v>87.09</v>
      </c>
      <c r="I37" s="211">
        <f>AVERAGE(G37:H37)</f>
        <v>78.69</v>
      </c>
      <c r="J37" s="208">
        <f t="shared" si="2"/>
        <v>5.4401715127964767E-2</v>
      </c>
      <c r="K37" s="204">
        <f t="shared" si="1"/>
        <v>12.291161907608847</v>
      </c>
      <c r="L37" s="212" t="s">
        <v>97</v>
      </c>
      <c r="O37" s="199" t="s">
        <v>98</v>
      </c>
    </row>
    <row r="38" spans="1:15" x14ac:dyDescent="0.4">
      <c r="B38" s="197" t="s">
        <v>99</v>
      </c>
      <c r="G38" s="207">
        <f>Nestle_Inputs!D58</f>
        <v>69</v>
      </c>
      <c r="H38" s="207">
        <f>Nestle_Inputs!D59</f>
        <v>100</v>
      </c>
      <c r="I38" s="211">
        <f>Nestle_Inputs!D60</f>
        <v>88.23</v>
      </c>
      <c r="J38" s="208">
        <f t="shared" si="2"/>
        <v>0.1822323462414579</v>
      </c>
      <c r="K38" s="204">
        <f t="shared" si="1"/>
        <v>13.644969861659808</v>
      </c>
      <c r="L38" s="212" t="s">
        <v>97</v>
      </c>
    </row>
    <row r="41" spans="1:15" ht="30" customHeight="1" x14ac:dyDescent="0.4">
      <c r="A41" s="125" t="s">
        <v>328</v>
      </c>
      <c r="B41" s="218" t="s">
        <v>359</v>
      </c>
      <c r="C41" s="218" t="s">
        <v>22</v>
      </c>
      <c r="D41" s="218" t="s">
        <v>100</v>
      </c>
      <c r="E41" s="218" t="s">
        <v>101</v>
      </c>
      <c r="F41" s="218" t="s">
        <v>86</v>
      </c>
    </row>
    <row r="42" spans="1:15" x14ac:dyDescent="0.4">
      <c r="B42" s="197" t="str">
        <f t="shared" ref="B42:B50" si="3">B30</f>
        <v>Trading comps – EV/EBITDA 2026F</v>
      </c>
      <c r="C42" s="351">
        <v>0.2</v>
      </c>
      <c r="D42" s="219">
        <f t="shared" ref="D42:D50" si="4">I30</f>
        <v>76.095304185818463</v>
      </c>
      <c r="E42" s="219">
        <f>C42*D42</f>
        <v>15.219060837163694</v>
      </c>
      <c r="F42" s="212" t="str">
        <f t="shared" ref="F42:F50" si="5">L30</f>
        <v>Minority</v>
      </c>
      <c r="O42" s="199" t="s">
        <v>360</v>
      </c>
    </row>
    <row r="43" spans="1:15" x14ac:dyDescent="0.4">
      <c r="B43" s="197" t="str">
        <f t="shared" si="3"/>
        <v>Trading comps – EV/EBITDA 2027F</v>
      </c>
      <c r="C43" s="352">
        <v>0.1</v>
      </c>
      <c r="D43" s="219">
        <f t="shared" si="4"/>
        <v>72.259435229473809</v>
      </c>
      <c r="E43" s="219">
        <f t="shared" ref="E43:E50" si="6">C43*D43</f>
        <v>7.2259435229473814</v>
      </c>
      <c r="F43" s="212" t="str">
        <f t="shared" si="5"/>
        <v>Minority</v>
      </c>
    </row>
    <row r="44" spans="1:15" x14ac:dyDescent="0.4">
      <c r="B44" s="197" t="str">
        <f t="shared" si="3"/>
        <v>Trading comps – P/E 2026F</v>
      </c>
      <c r="C44" s="352">
        <v>0.2</v>
      </c>
      <c r="D44" s="219">
        <f t="shared" si="4"/>
        <v>76.710282260767912</v>
      </c>
      <c r="E44" s="219">
        <f t="shared" si="6"/>
        <v>15.342056452153583</v>
      </c>
      <c r="F44" s="212" t="str">
        <f t="shared" si="5"/>
        <v>Minority</v>
      </c>
    </row>
    <row r="45" spans="1:15" x14ac:dyDescent="0.4">
      <c r="B45" s="197" t="str">
        <f t="shared" si="3"/>
        <v>Precedents – EV/LTM EBITDA</v>
      </c>
      <c r="C45" s="352">
        <v>0</v>
      </c>
      <c r="D45" s="219">
        <f t="shared" si="4"/>
        <v>91.641347718372856</v>
      </c>
      <c r="E45" s="219">
        <f t="shared" si="6"/>
        <v>0</v>
      </c>
      <c r="F45" s="212" t="str">
        <f t="shared" si="5"/>
        <v>Control</v>
      </c>
    </row>
    <row r="46" spans="1:15" x14ac:dyDescent="0.4">
      <c r="B46" s="197" t="str">
        <f t="shared" si="3"/>
        <v>Precedents – Premiums paid</v>
      </c>
      <c r="C46" s="352">
        <v>0</v>
      </c>
      <c r="D46" s="219">
        <f t="shared" si="4"/>
        <v>105.788025</v>
      </c>
      <c r="E46" s="219">
        <f t="shared" si="6"/>
        <v>0</v>
      </c>
      <c r="F46" s="212" t="str">
        <f t="shared" si="5"/>
        <v>Control</v>
      </c>
    </row>
    <row r="47" spans="1:15" x14ac:dyDescent="0.4">
      <c r="B47" s="197" t="str">
        <f t="shared" si="3"/>
        <v>DCF – Perpetuity growth</v>
      </c>
      <c r="C47" s="352">
        <v>0.35</v>
      </c>
      <c r="D47" s="219">
        <f t="shared" si="4"/>
        <v>97.386660657893898</v>
      </c>
      <c r="E47" s="219">
        <f t="shared" si="6"/>
        <v>34.085331230262859</v>
      </c>
      <c r="F47" s="212" t="str">
        <f t="shared" si="5"/>
        <v>Intrinsic</v>
      </c>
    </row>
    <row r="48" spans="1:15" x14ac:dyDescent="0.4">
      <c r="B48" s="197" t="str">
        <f t="shared" si="3"/>
        <v>DCF – Exit multiple</v>
      </c>
      <c r="C48" s="352">
        <v>0.15</v>
      </c>
      <c r="D48" s="219">
        <f t="shared" si="4"/>
        <v>82.38557615729539</v>
      </c>
      <c r="E48" s="219">
        <f t="shared" si="6"/>
        <v>12.357836423594309</v>
      </c>
      <c r="F48" s="212" t="str">
        <f t="shared" si="5"/>
        <v>Intrinsic</v>
      </c>
    </row>
    <row r="49" spans="1:15" x14ac:dyDescent="0.4">
      <c r="B49" s="197" t="str">
        <f t="shared" si="3"/>
        <v>52-week trading range</v>
      </c>
      <c r="C49" s="352">
        <v>0</v>
      </c>
      <c r="D49" s="219">
        <f t="shared" si="4"/>
        <v>78.69</v>
      </c>
      <c r="E49" s="219">
        <f t="shared" si="6"/>
        <v>0</v>
      </c>
      <c r="F49" s="212" t="str">
        <f t="shared" si="5"/>
        <v>Market ref.</v>
      </c>
    </row>
    <row r="50" spans="1:15" x14ac:dyDescent="0.4">
      <c r="B50" s="197" t="str">
        <f t="shared" si="3"/>
        <v>Analyst price targets</v>
      </c>
      <c r="C50" s="353">
        <v>0</v>
      </c>
      <c r="D50" s="219">
        <f t="shared" si="4"/>
        <v>88.23</v>
      </c>
      <c r="E50" s="219">
        <f t="shared" si="6"/>
        <v>0</v>
      </c>
      <c r="F50" s="212" t="str">
        <f t="shared" si="5"/>
        <v>Market ref.</v>
      </c>
    </row>
    <row r="51" spans="1:15" x14ac:dyDescent="0.4">
      <c r="B51" s="220" t="s">
        <v>356</v>
      </c>
      <c r="C51" s="221">
        <f>SUM(C42:C50)</f>
        <v>1</v>
      </c>
      <c r="D51" s="222"/>
      <c r="E51" s="222"/>
      <c r="F51" s="222"/>
    </row>
    <row r="52" spans="1:15" x14ac:dyDescent="0.4">
      <c r="B52" s="195" t="s">
        <v>102</v>
      </c>
      <c r="D52" s="223">
        <f>IF(C51=0,0,SUMPRODUCT(C42:C50,D42:D50)/C51)</f>
        <v>84.230228466121815</v>
      </c>
      <c r="O52" s="199" t="s">
        <v>103</v>
      </c>
    </row>
    <row r="53" spans="1:15" x14ac:dyDescent="0.4">
      <c r="B53" s="195" t="s">
        <v>104</v>
      </c>
      <c r="D53" s="224">
        <f>D52/$D$8-1</f>
        <v>0.12863765866436849</v>
      </c>
    </row>
    <row r="54" spans="1:15" x14ac:dyDescent="0.4">
      <c r="B54" s="282" t="s">
        <v>390</v>
      </c>
      <c r="D54" s="225">
        <f>D52*$D$9</f>
        <v>216724.37784333143</v>
      </c>
    </row>
    <row r="55" spans="1:15" x14ac:dyDescent="0.4">
      <c r="B55" s="282" t="s">
        <v>391</v>
      </c>
      <c r="D55" s="225">
        <f>D54-$D$10</f>
        <v>237110.85794333142</v>
      </c>
    </row>
    <row r="56" spans="1:15" x14ac:dyDescent="0.4">
      <c r="B56" s="197" t="s">
        <v>105</v>
      </c>
      <c r="D56" s="226">
        <f>D55/$D$12</f>
        <v>13.077367920679629</v>
      </c>
    </row>
    <row r="57" spans="1:15" x14ac:dyDescent="0.4">
      <c r="B57" s="197" t="s">
        <v>106</v>
      </c>
      <c r="D57" s="226">
        <f>(D54-$D$15)/$D$14</f>
        <v>18.267858820734798</v>
      </c>
    </row>
    <row r="58" spans="1:15" x14ac:dyDescent="0.4">
      <c r="B58" s="197" t="s">
        <v>107</v>
      </c>
      <c r="D58" s="227">
        <f>I33</f>
        <v>91.641347718372856</v>
      </c>
    </row>
    <row r="59" spans="1:15" x14ac:dyDescent="0.4">
      <c r="B59" s="195" t="s">
        <v>108</v>
      </c>
      <c r="D59" s="195" t="str">
        <f>IF(D53&gt;0.15,"UNDERVALUED (&gt;15% upside)",IF(D53&lt;-0.15,"OVERVALUED (&gt;15% downside)","FAIRLY VALUED (within ±15%)"))</f>
        <v>FAIRLY VALUED (within ±15%)</v>
      </c>
      <c r="O59" s="199" t="s">
        <v>109</v>
      </c>
    </row>
    <row r="61" spans="1:15" x14ac:dyDescent="0.4">
      <c r="A61" s="125" t="s">
        <v>328</v>
      </c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</row>
  </sheetData>
  <sheetProtection selectLockedCells="1"/>
  <pageMargins left="0.75" right="0.75" top="1" bottom="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Peer_Inputs!$E$53:$E$55</xm:f>
          </x14:formula1>
          <xm:sqref>D18</xm:sqref>
        </x14:dataValidation>
        <x14:dataValidation type="list" xr:uid="{9FCBEC4F-0DF3-4D91-B60E-EF099B1AECF3}">
          <x14:formula1>
            <xm:f>Peer_Inputs!$B$53:$B$55</xm:f>
          </x14:formula1>
          <xm:sqref>D16:D17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97"/>
  <sheetViews>
    <sheetView showGridLines="0" zoomScaleNormal="100" workbookViewId="0">
      <pane ySplit="1" topLeftCell="A2" activePane="bottomLeft" state="frozen"/>
      <selection pane="bottomLeft" activeCell="R14" sqref="R14"/>
    </sheetView>
  </sheetViews>
  <sheetFormatPr defaultColWidth="8.6640625" defaultRowHeight="14.4" outlineLevelCol="1" x14ac:dyDescent="0.3"/>
  <cols>
    <col min="1" max="1" width="4.88671875" customWidth="1"/>
    <col min="2" max="2" width="20" customWidth="1"/>
    <col min="3" max="3" width="6" customWidth="1"/>
    <col min="4" max="5" width="11" customWidth="1"/>
    <col min="6" max="9" width="8.44140625" customWidth="1"/>
    <col min="10" max="10" width="11" customWidth="1"/>
    <col min="11" max="17" width="8.44140625" customWidth="1"/>
    <col min="18" max="18" width="4.6640625" customWidth="1"/>
    <col min="19" max="19" width="16.21875" style="29" hidden="1" customWidth="1" outlineLevel="1"/>
    <col min="20" max="20" width="8.6640625" hidden="1" customWidth="1" outlineLevel="1"/>
    <col min="21" max="21" width="8.6640625" collapsed="1"/>
  </cols>
  <sheetData>
    <row r="1" spans="1:19" s="25" customFormat="1" ht="56.4" customHeight="1" x14ac:dyDescent="0.4">
      <c r="B1" s="26"/>
      <c r="C1" s="27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S1" s="28" t="s">
        <v>389</v>
      </c>
    </row>
    <row r="3" spans="1:19" ht="16.8" x14ac:dyDescent="0.3">
      <c r="A3" t="s">
        <v>328</v>
      </c>
      <c r="B3" s="7" t="s">
        <v>110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9" x14ac:dyDescent="0.3">
      <c r="B4" s="32"/>
    </row>
    <row r="6" spans="1:19" ht="30" customHeight="1" x14ac:dyDescent="0.3">
      <c r="B6" s="41" t="s">
        <v>25</v>
      </c>
      <c r="C6" s="39" t="s">
        <v>111</v>
      </c>
      <c r="D6" s="39" t="s">
        <v>112</v>
      </c>
      <c r="E6" s="39" t="s">
        <v>113</v>
      </c>
      <c r="F6" s="44" t="s">
        <v>114</v>
      </c>
      <c r="G6" s="45"/>
      <c r="H6" s="46"/>
      <c r="I6" s="44" t="s">
        <v>115</v>
      </c>
      <c r="J6" s="45"/>
      <c r="K6" s="46"/>
      <c r="L6" s="44" t="s">
        <v>116</v>
      </c>
      <c r="M6" s="45"/>
      <c r="N6" s="46"/>
      <c r="O6" s="44" t="s">
        <v>117</v>
      </c>
      <c r="P6" s="45"/>
      <c r="Q6" s="46"/>
      <c r="S6" s="31"/>
    </row>
    <row r="7" spans="1:19" x14ac:dyDescent="0.3">
      <c r="B7" s="42"/>
      <c r="C7" s="40"/>
      <c r="D7" s="40"/>
      <c r="E7" s="40"/>
      <c r="F7" s="47" t="s">
        <v>118</v>
      </c>
      <c r="G7" s="40" t="s">
        <v>339</v>
      </c>
      <c r="H7" s="48" t="s">
        <v>340</v>
      </c>
      <c r="I7" s="47" t="s">
        <v>118</v>
      </c>
      <c r="J7" s="40" t="s">
        <v>339</v>
      </c>
      <c r="K7" s="48" t="s">
        <v>340</v>
      </c>
      <c r="L7" s="47" t="s">
        <v>118</v>
      </c>
      <c r="M7" s="40" t="s">
        <v>339</v>
      </c>
      <c r="N7" s="48" t="s">
        <v>340</v>
      </c>
      <c r="O7" s="47" t="s">
        <v>118</v>
      </c>
      <c r="P7" s="40" t="s">
        <v>339</v>
      </c>
      <c r="Q7" s="48" t="s">
        <v>340</v>
      </c>
    </row>
    <row r="8" spans="1:19" ht="15" x14ac:dyDescent="0.3">
      <c r="B8" s="33" t="str">
        <f>Peer_Inputs!B13</f>
        <v>Danone</v>
      </c>
      <c r="C8" s="34">
        <f>Peer_Inputs!D13</f>
        <v>1</v>
      </c>
      <c r="D8" s="35">
        <f>Peer_Inputs!O13</f>
        <v>34521.3675</v>
      </c>
      <c r="E8" s="35">
        <f>Peer_Inputs!P13</f>
        <v>43449.3675</v>
      </c>
      <c r="F8" s="49">
        <f>IF(Peer_Inputs!D25&gt;0,Peer_Inputs!$M13/Peer_Inputs!D25,"n.m.")</f>
        <v>1.7019945355191257</v>
      </c>
      <c r="G8" s="43">
        <f>IF(Peer_Inputs!E25&gt;0,Peer_Inputs!$M13/Peer_Inputs!E25,"n.m.")</f>
        <v>1.6508745583038869</v>
      </c>
      <c r="H8" s="50">
        <f>IF(Peer_Inputs!F25&gt;0,Peer_Inputs!$M13/Peer_Inputs!F25,"n.m.")</f>
        <v>1.5918143100511073</v>
      </c>
      <c r="I8" s="49">
        <f>IF(Peer_Inputs!G25&gt;0,Peer_Inputs!$M13/Peer_Inputs!G25,"n.m.")</f>
        <v>9.6230175077239952</v>
      </c>
      <c r="J8" s="43">
        <f>IF(Peer_Inputs!H25&gt;0,Peer_Inputs!$M13/Peer_Inputs!H25,"n.m.")</f>
        <v>9.2149408284023675</v>
      </c>
      <c r="K8" s="50">
        <f>IF(Peer_Inputs!I25&gt;0,Peer_Inputs!$M13/Peer_Inputs!I25,"n.m.")</f>
        <v>8.7819078947368414</v>
      </c>
      <c r="L8" s="49">
        <f>IF(Peer_Inputs!J25&gt;0,Peer_Inputs!$M13/Peer_Inputs!J25,"n.m.")</f>
        <v>12.60991902834008</v>
      </c>
      <c r="M8" s="43">
        <f>IF(Peer_Inputs!K25&gt;0,Peer_Inputs!$M13/Peer_Inputs!K25,"n.m.")</f>
        <v>11.964084507042253</v>
      </c>
      <c r="N8" s="50">
        <f>IF(Peer_Inputs!L25&gt;0,Peer_Inputs!$M13/Peer_Inputs!L25,"n.m.")</f>
        <v>11.284963768115942</v>
      </c>
      <c r="O8" s="49">
        <f>IF(Peer_Inputs!M25&gt;0,Peer_Inputs!$G13/Peer_Inputs!M25,"n.m.")</f>
        <v>15.144736842105264</v>
      </c>
      <c r="P8" s="43">
        <f>IF(Peer_Inputs!N25&gt;0,Peer_Inputs!$G13/Peer_Inputs!N25,"n.m.")</f>
        <v>14.315920398009951</v>
      </c>
      <c r="Q8" s="50">
        <f>IF(Peer_Inputs!O25&gt;0,Peer_Inputs!$G13/Peer_Inputs!O25,"n.m.")</f>
        <v>13.321759259259258</v>
      </c>
    </row>
    <row r="9" spans="1:19" ht="15" x14ac:dyDescent="0.3">
      <c r="B9" s="33" t="str">
        <f>Peer_Inputs!B14</f>
        <v>Unilever</v>
      </c>
      <c r="C9" s="34">
        <f>Peer_Inputs!D14</f>
        <v>1</v>
      </c>
      <c r="D9" s="35">
        <f>Peer_Inputs!O14</f>
        <v>105256.656</v>
      </c>
      <c r="E9" s="35">
        <f>Peer_Inputs!P14</f>
        <v>142456.65600000002</v>
      </c>
      <c r="F9" s="49">
        <f>IF(Peer_Inputs!D26&gt;0,Peer_Inputs!$M14/Peer_Inputs!D26,"n.m.")</f>
        <v>2.9571274131274135</v>
      </c>
      <c r="G9" s="43">
        <f>IF(Peer_Inputs!E26&gt;0,Peer_Inputs!$M14/Peer_Inputs!E26,"n.m.")</f>
        <v>2.8956370510396976</v>
      </c>
      <c r="H9" s="50">
        <f>IF(Peer_Inputs!F26&gt;0,Peer_Inputs!$M14/Peer_Inputs!F26,"n.m.")</f>
        <v>2.8003510054844609</v>
      </c>
      <c r="I9" s="49">
        <f>IF(Peer_Inputs!G26&gt;0,Peer_Inputs!$M14/Peer_Inputs!G26,"n.m.")</f>
        <v>12.81834309623431</v>
      </c>
      <c r="J9" s="43">
        <f>IF(Peer_Inputs!H26&gt;0,Peer_Inputs!$M14/Peer_Inputs!H26,"n.m.")</f>
        <v>12.45359349593496</v>
      </c>
      <c r="K9" s="50">
        <f>IF(Peer_Inputs!I26&gt;0,Peer_Inputs!$M14/Peer_Inputs!I26,"n.m.")</f>
        <v>11.920560311284047</v>
      </c>
      <c r="L9" s="49">
        <f>IF(Peer_Inputs!J26&gt;0,Peer_Inputs!$M14/Peer_Inputs!J26,"n.m.")</f>
        <v>14.658296650717704</v>
      </c>
      <c r="M9" s="43">
        <f>IF(Peer_Inputs!K26&gt;0,Peer_Inputs!$M14/Peer_Inputs!K26,"n.m.")</f>
        <v>14.249227906976746</v>
      </c>
      <c r="N9" s="50">
        <f>IF(Peer_Inputs!L26&gt;0,Peer_Inputs!$M14/Peer_Inputs!L26,"n.m.")</f>
        <v>13.61592888888889</v>
      </c>
      <c r="O9" s="49">
        <f>IF(Peer_Inputs!M26&gt;0,Peer_Inputs!$G14/Peer_Inputs!M26,"n.m.")</f>
        <v>18.457142857142859</v>
      </c>
      <c r="P9" s="43">
        <f>IF(Peer_Inputs!N26&gt;0,Peer_Inputs!$G14/Peer_Inputs!N26,"n.m.")</f>
        <v>17.518644067796608</v>
      </c>
      <c r="Q9" s="50">
        <f>IF(Peer_Inputs!O26&gt;0,Peer_Inputs!$G14/Peer_Inputs!O26,"n.m.")</f>
        <v>16.406349206349208</v>
      </c>
    </row>
    <row r="10" spans="1:19" ht="15" x14ac:dyDescent="0.3">
      <c r="B10" s="33" t="str">
        <f>Peer_Inputs!B15</f>
        <v>PepsiCo</v>
      </c>
      <c r="C10" s="34">
        <f>Peer_Inputs!D15</f>
        <v>1</v>
      </c>
      <c r="D10" s="35">
        <f>Peer_Inputs!O15</f>
        <v>135936.88</v>
      </c>
      <c r="E10" s="35">
        <f>Peer_Inputs!P15</f>
        <v>169511.88</v>
      </c>
      <c r="F10" s="49">
        <f>IF(Peer_Inputs!D27&gt;0,Peer_Inputs!$M15/Peer_Inputs!D27,"n.m.")</f>
        <v>2.2851118210862618</v>
      </c>
      <c r="G10" s="43">
        <f>IF(Peer_Inputs!E27&gt;0,Peer_Inputs!$M15/Peer_Inputs!E27,"n.m.")</f>
        <v>2.2281619937694703</v>
      </c>
      <c r="H10" s="50">
        <f>IF(Peer_Inputs!F27&gt;0,Peer_Inputs!$M15/Peer_Inputs!F27,"n.m.")</f>
        <v>2.1565025125628141</v>
      </c>
      <c r="I10" s="49">
        <f>IF(Peer_Inputs!G27&gt;0,Peer_Inputs!$M15/Peer_Inputs!G27,"n.m.")</f>
        <v>12.475116279069768</v>
      </c>
      <c r="J10" s="43">
        <f>IF(Peer_Inputs!H27&gt;0,Peer_Inputs!$M15/Peer_Inputs!H27,"n.m.")</f>
        <v>12.054606741573034</v>
      </c>
      <c r="K10" s="50">
        <f>IF(Peer_Inputs!I27&gt;0,Peer_Inputs!$M15/Peer_Inputs!I27,"n.m.")</f>
        <v>11.536129032258064</v>
      </c>
      <c r="L10" s="49">
        <f>IF(Peer_Inputs!J27&gt;0,Peer_Inputs!$M15/Peer_Inputs!J27,"n.m.")</f>
        <v>15.548695652173913</v>
      </c>
      <c r="M10" s="43">
        <f>IF(Peer_Inputs!K27&gt;0,Peer_Inputs!$M15/Peer_Inputs!K27,"n.m.")</f>
        <v>15.005034965034966</v>
      </c>
      <c r="N10" s="50">
        <f>IF(Peer_Inputs!L27&gt;0,Peer_Inputs!$M15/Peer_Inputs!L27,"n.m.")</f>
        <v>14.3048</v>
      </c>
      <c r="O10" s="49">
        <f>IF(Peer_Inputs!M27&gt;0,Peer_Inputs!$G15/Peer_Inputs!M27,"n.m.")</f>
        <v>15.506172839506172</v>
      </c>
      <c r="P10" s="43">
        <f>IF(Peer_Inputs!N27&gt;0,Peer_Inputs!$G15/Peer_Inputs!N27,"n.m.")</f>
        <v>14.863905325443788</v>
      </c>
      <c r="Q10" s="50">
        <f>IF(Peer_Inputs!O27&gt;0,Peer_Inputs!$G15/Peer_Inputs!O27,"n.m.")</f>
        <v>14.033519553072626</v>
      </c>
    </row>
    <row r="11" spans="1:19" ht="15" x14ac:dyDescent="0.3">
      <c r="B11" s="33" t="str">
        <f>Peer_Inputs!B16</f>
        <v>Mondelez</v>
      </c>
      <c r="C11" s="34">
        <f>Peer_Inputs!D16</f>
        <v>1</v>
      </c>
      <c r="D11" s="35">
        <f>Peer_Inputs!O16</f>
        <v>58224.390399999997</v>
      </c>
      <c r="E11" s="35">
        <f>Peer_Inputs!P16</f>
        <v>72918.390400000004</v>
      </c>
      <c r="F11" s="49">
        <f>IF(Peer_Inputs!D28&gt;0,Peer_Inputs!$M16/Peer_Inputs!D28,"n.m.")</f>
        <v>2.3974483116883114</v>
      </c>
      <c r="G11" s="43">
        <f>IF(Peer_Inputs!E28&gt;0,Peer_Inputs!$M16/Peer_Inputs!E28,"n.m.")</f>
        <v>2.3308525252525252</v>
      </c>
      <c r="H11" s="50">
        <f>IF(Peer_Inputs!F28&gt;0,Peer_Inputs!$M16/Peer_Inputs!F28,"n.m.")</f>
        <v>2.2512624390243903</v>
      </c>
      <c r="I11" s="49">
        <f>IF(Peer_Inputs!G28&gt;0,Peer_Inputs!$M16/Peer_Inputs!G28,"n.m.")</f>
        <v>12.909337062937063</v>
      </c>
      <c r="J11" s="43">
        <f>IF(Peer_Inputs!H28&gt;0,Peer_Inputs!$M16/Peer_Inputs!H28,"n.m.")</f>
        <v>12.644076712328767</v>
      </c>
      <c r="K11" s="50">
        <f>IF(Peer_Inputs!I28&gt;0,Peer_Inputs!$M16/Peer_Inputs!I28,"n.m.")</f>
        <v>11.833558974358974</v>
      </c>
      <c r="L11" s="49">
        <f>IF(Peer_Inputs!J28&gt;0,Peer_Inputs!$M16/Peer_Inputs!J28,"n.m.")</f>
        <v>15.512900840336133</v>
      </c>
      <c r="M11" s="43">
        <f>IF(Peer_Inputs!K28&gt;0,Peer_Inputs!$M16/Peer_Inputs!K28,"n.m.")</f>
        <v>15.256489256198346</v>
      </c>
      <c r="N11" s="50">
        <f>IF(Peer_Inputs!L28&gt;0,Peer_Inputs!$M16/Peer_Inputs!L28,"n.m.")</f>
        <v>14.200270769230768</v>
      </c>
      <c r="O11" s="49">
        <f>IF(Peer_Inputs!M28&gt;0,Peer_Inputs!$G16/Peer_Inputs!M28,"n.m.")</f>
        <v>19.579661016949149</v>
      </c>
      <c r="P11" s="43">
        <f>IF(Peer_Inputs!N28&gt;0,Peer_Inputs!$G16/Peer_Inputs!N28,"n.m.")</f>
        <v>18.937704918032786</v>
      </c>
      <c r="Q11" s="50">
        <f>IF(Peer_Inputs!O28&gt;0,Peer_Inputs!$G16/Peer_Inputs!O28,"n.m.")</f>
        <v>17.241791044776118</v>
      </c>
    </row>
    <row r="12" spans="1:19" ht="15" x14ac:dyDescent="0.3">
      <c r="B12" s="33" t="str">
        <f>Peer_Inputs!B17</f>
        <v>Coca-Cola</v>
      </c>
      <c r="C12" s="34">
        <f>Peer_Inputs!D17</f>
        <v>2</v>
      </c>
      <c r="D12" s="35">
        <f>Peer_Inputs!O17</f>
        <v>292481.7</v>
      </c>
      <c r="E12" s="35">
        <f>Peer_Inputs!P17</f>
        <v>303146.7</v>
      </c>
      <c r="F12" s="49">
        <f>IF(Peer_Inputs!D29&gt;0,Peer_Inputs!$M17/Peer_Inputs!D29,"n.m.")</f>
        <v>8.0110647181628387</v>
      </c>
      <c r="G12" s="43">
        <f>IF(Peer_Inputs!E29&gt;0,Peer_Inputs!$M17/Peer_Inputs!E29,"n.m.")</f>
        <v>7.64402390438247</v>
      </c>
      <c r="H12" s="50">
        <f>IF(Peer_Inputs!F29&gt;0,Peer_Inputs!$M17/Peer_Inputs!F29,"n.m.")</f>
        <v>7.2676136363636363</v>
      </c>
      <c r="I12" s="49">
        <f>IF(Peer_Inputs!G29&gt;0,Peer_Inputs!$M17/Peer_Inputs!G29,"n.m.")</f>
        <v>23.983125000000001</v>
      </c>
      <c r="J12" s="43">
        <f>IF(Peer_Inputs!H29&gt;0,Peer_Inputs!$M17/Peer_Inputs!H29,"n.m.")</f>
        <v>22.705917159763313</v>
      </c>
      <c r="K12" s="50">
        <f>IF(Peer_Inputs!I29&gt;0,Peer_Inputs!$M17/Peer_Inputs!I29,"n.m.")</f>
        <v>21.437430167597764</v>
      </c>
      <c r="L12" s="49">
        <f>IF(Peer_Inputs!J29&gt;0,Peer_Inputs!$M17/Peer_Inputs!J29,"n.m.")</f>
        <v>25.753691275167785</v>
      </c>
      <c r="M12" s="43">
        <f>IF(Peer_Inputs!K29&gt;0,Peer_Inputs!$M17/Peer_Inputs!K29,"n.m.")</f>
        <v>24.286708860759493</v>
      </c>
      <c r="N12" s="50">
        <f>IF(Peer_Inputs!L29&gt;0,Peer_Inputs!$M17/Peer_Inputs!L29,"n.m.")</f>
        <v>22.909253731343284</v>
      </c>
      <c r="O12" s="49">
        <f>IF(Peer_Inputs!M29&gt;0,Peer_Inputs!$G17/Peer_Inputs!M29,"n.m.")</f>
        <v>28.7</v>
      </c>
      <c r="P12" s="43">
        <f>IF(Peer_Inputs!N29&gt;0,Peer_Inputs!$G17/Peer_Inputs!N29,"n.m.")</f>
        <v>26.739130434782606</v>
      </c>
      <c r="Q12" s="50">
        <f>IF(Peer_Inputs!O29&gt;0,Peer_Inputs!$G17/Peer_Inputs!O29,"n.m.")</f>
        <v>24.95652173913043</v>
      </c>
    </row>
    <row r="13" spans="1:19" ht="15" x14ac:dyDescent="0.3">
      <c r="B13" s="33" t="str">
        <f>Peer_Inputs!B18</f>
        <v>Hershey</v>
      </c>
      <c r="C13" s="34">
        <f>Peer_Inputs!D18</f>
        <v>2</v>
      </c>
      <c r="D13" s="35">
        <f>Peer_Inputs!O18</f>
        <v>25295.247000000003</v>
      </c>
      <c r="E13" s="35">
        <f>Peer_Inputs!P18</f>
        <v>29166.247000000003</v>
      </c>
      <c r="F13" s="49">
        <f>IF(Peer_Inputs!D30&gt;0,Peer_Inputs!$M18/Peer_Inputs!D30,"n.m.")</f>
        <v>3.1690386266094421</v>
      </c>
      <c r="G13" s="43">
        <f>IF(Peer_Inputs!E30&gt;0,Peer_Inputs!$M18/Peer_Inputs!E30,"n.m.")</f>
        <v>3.0138204081632654</v>
      </c>
      <c r="H13" s="50">
        <f>IF(Peer_Inputs!F30&gt;0,Peer_Inputs!$M18/Peer_Inputs!F30,"n.m.")</f>
        <v>2.9070314960629924</v>
      </c>
      <c r="I13" s="49">
        <f>IF(Peer_Inputs!G30&gt;0,Peer_Inputs!$M18/Peer_Inputs!G30,"n.m.")</f>
        <v>13.57327205882353</v>
      </c>
      <c r="J13" s="43">
        <f>IF(Peer_Inputs!H30&gt;0,Peer_Inputs!$M18/Peer_Inputs!H30,"n.m.")</f>
        <v>11.02068656716418</v>
      </c>
      <c r="K13" s="50">
        <f>IF(Peer_Inputs!I30&gt;0,Peer_Inputs!$M18/Peer_Inputs!I30,"n.m.")</f>
        <v>10.312653631284917</v>
      </c>
      <c r="L13" s="49">
        <f>IF(Peer_Inputs!J30&gt;0,Peer_Inputs!$M18/Peer_Inputs!J30,"n.m.")</f>
        <v>16.408577777777779</v>
      </c>
      <c r="M13" s="43">
        <f>IF(Peer_Inputs!K30&gt;0,Peer_Inputs!$M18/Peer_Inputs!K30,"n.m.")</f>
        <v>12.908846153846154</v>
      </c>
      <c r="N13" s="50">
        <f>IF(Peer_Inputs!L30&gt;0,Peer_Inputs!$M18/Peer_Inputs!L30,"n.m.")</f>
        <v>12.02583061889251</v>
      </c>
      <c r="O13" s="49">
        <f>IF(Peer_Inputs!M30&gt;0,Peer_Inputs!$G18/Peer_Inputs!M30,"n.m.")</f>
        <v>26.11475409836066</v>
      </c>
      <c r="P13" s="43">
        <f>IF(Peer_Inputs!N30&gt;0,Peer_Inputs!$G18/Peer_Inputs!N30,"n.m.")</f>
        <v>19.666666666666668</v>
      </c>
      <c r="Q13" s="50">
        <f>IF(Peer_Inputs!O30&gt;0,Peer_Inputs!$G18/Peer_Inputs!O30,"n.m.")</f>
        <v>17.898876404494384</v>
      </c>
    </row>
    <row r="14" spans="1:19" ht="15" x14ac:dyDescent="0.3">
      <c r="B14" s="33" t="str">
        <f>Peer_Inputs!B19</f>
        <v>General Mills</v>
      </c>
      <c r="C14" s="34">
        <f>Peer_Inputs!D19</f>
        <v>2</v>
      </c>
      <c r="D14" s="35">
        <f>Peer_Inputs!O19</f>
        <v>13385.325500000001</v>
      </c>
      <c r="E14" s="35">
        <f>Peer_Inputs!P19</f>
        <v>24445.325500000003</v>
      </c>
      <c r="F14" s="49">
        <f>IF(Peer_Inputs!D31&gt;0,Peer_Inputs!$M19/Peer_Inputs!D31,"n.m.")</f>
        <v>1.6541033922088333</v>
      </c>
      <c r="G14" s="43">
        <f>IF(Peer_Inputs!E31&gt;0,Peer_Inputs!$M19/Peer_Inputs!E31,"n.m.")</f>
        <v>1.7214714881780251</v>
      </c>
      <c r="H14" s="50">
        <f>IF(Peer_Inputs!F31&gt;0,Peer_Inputs!$M19/Peer_Inputs!F31,"n.m.")</f>
        <v>1.7166962552011096</v>
      </c>
      <c r="I14" s="49">
        <f>IF(Peer_Inputs!G31&gt;0,Peer_Inputs!$M19/Peer_Inputs!G31,"n.m.")</f>
        <v>8.342426421028982</v>
      </c>
      <c r="J14" s="43">
        <f>IF(Peer_Inputs!H31&gt;0,Peer_Inputs!$M19/Peer_Inputs!H31,"n.m.")</f>
        <v>9.043385289819776</v>
      </c>
      <c r="K14" s="50">
        <f>IF(Peer_Inputs!I31&gt;0,Peer_Inputs!$M19/Peer_Inputs!I31,"n.m.")</f>
        <v>8.969115942028985</v>
      </c>
      <c r="L14" s="49">
        <f>IF(Peer_Inputs!J31&gt;0,Peer_Inputs!$M19/Peer_Inputs!J31,"n.m.")</f>
        <v>9.7948140332366123</v>
      </c>
      <c r="M14" s="43">
        <f>IF(Peer_Inputs!K31&gt;0,Peer_Inputs!$M19/Peer_Inputs!K31,"n.m.")</f>
        <v>10.775432385374346</v>
      </c>
      <c r="N14" s="50">
        <f>IF(Peer_Inputs!L31&gt;0,Peer_Inputs!$M19/Peer_Inputs!L31,"n.m.")</f>
        <v>10.691661387849122</v>
      </c>
      <c r="O14" s="49">
        <f>IF(Peer_Inputs!M31&gt;0,Peer_Inputs!$G19/Peer_Inputs!M31,"n.m.")</f>
        <v>8.4735785953177274</v>
      </c>
      <c r="P14" s="43">
        <f>IF(Peer_Inputs!N31&gt;0,Peer_Inputs!$G19/Peer_Inputs!N31,"n.m.")</f>
        <v>9.8737334372564316</v>
      </c>
      <c r="Q14" s="50">
        <f>IF(Peer_Inputs!O31&gt;0,Peer_Inputs!$G19/Peer_Inputs!O31,"n.m.")</f>
        <v>9.7421174057933868</v>
      </c>
    </row>
    <row r="15" spans="1:19" ht="15" x14ac:dyDescent="0.3">
      <c r="B15" s="36" t="str">
        <f>Peer_Inputs!B20</f>
        <v>Kraft Heinz</v>
      </c>
      <c r="C15" s="37">
        <f>Peer_Inputs!D20</f>
        <v>2</v>
      </c>
      <c r="D15" s="38">
        <f>Peer_Inputs!O20</f>
        <v>20773.168500000003</v>
      </c>
      <c r="E15" s="38">
        <f>Peer_Inputs!P20</f>
        <v>36059.6685</v>
      </c>
      <c r="F15" s="51">
        <f>IF(Peer_Inputs!D32&gt;0,Peer_Inputs!$M20/Peer_Inputs!D32,"n.m.")</f>
        <v>1.8300517199903776</v>
      </c>
      <c r="G15" s="16">
        <f>IF(Peer_Inputs!E32&gt;0,Peer_Inputs!$M20/Peer_Inputs!E32,"n.m.")</f>
        <v>1.8900683229813666</v>
      </c>
      <c r="H15" s="52">
        <f>IF(Peer_Inputs!F32&gt;0,Peer_Inputs!$M20/Peer_Inputs!F32,"n.m.")</f>
        <v>1.8979272349272349</v>
      </c>
      <c r="I15" s="51">
        <f>IF(Peer_Inputs!G32&gt;0,Peer_Inputs!$M20/Peer_Inputs!G32,"n.m.")</f>
        <v>7.7364661016949157</v>
      </c>
      <c r="J15" s="16">
        <f>IF(Peer_Inputs!H32&gt;0,Peer_Inputs!$M20/Peer_Inputs!H32,"n.m.")</f>
        <v>8.5318037383177572</v>
      </c>
      <c r="K15" s="52">
        <f>IF(Peer_Inputs!I32&gt;0,Peer_Inputs!$M20/Peer_Inputs!I32,"n.m.")</f>
        <v>8.6122924528301894</v>
      </c>
      <c r="L15" s="51">
        <f>IF(Peer_Inputs!J32&gt;0,Peer_Inputs!$M20/Peer_Inputs!J32,"n.m.")</f>
        <v>9.2212424242424245</v>
      </c>
      <c r="M15" s="16">
        <f>IF(Peer_Inputs!K32&gt;0,Peer_Inputs!$M20/Peer_Inputs!K32,"n.m.")</f>
        <v>10.373897727272727</v>
      </c>
      <c r="N15" s="52">
        <f>IF(Peer_Inputs!L32&gt;0,Peer_Inputs!$M20/Peer_Inputs!L32,"n.m.")</f>
        <v>10.493137931034482</v>
      </c>
      <c r="O15" s="51">
        <f>IF(Peer_Inputs!M32&gt;0,Peer_Inputs!$G20/Peer_Inputs!M32,"n.m.")</f>
        <v>8.6007751937984498</v>
      </c>
      <c r="P15" s="16">
        <f>IF(Peer_Inputs!N32&gt;0,Peer_Inputs!$G20/Peer_Inputs!N32,"n.m.")</f>
        <v>10.566666666666666</v>
      </c>
      <c r="Q15" s="52">
        <f>IF(Peer_Inputs!O32&gt;0,Peer_Inputs!$G20/Peer_Inputs!O32,"n.m.")</f>
        <v>10.32093023255814</v>
      </c>
    </row>
    <row r="17" spans="2:19" ht="15" x14ac:dyDescent="0.3">
      <c r="B17" s="88" t="s">
        <v>119</v>
      </c>
      <c r="C17" s="89" t="s">
        <v>120</v>
      </c>
      <c r="D17" s="90">
        <f>Nestle_Inputs!D43</f>
        <v>192022.99</v>
      </c>
      <c r="E17" s="90">
        <f>Nestle_Inputs!D54</f>
        <v>212409.47009999998</v>
      </c>
      <c r="F17" s="93">
        <f>$E17/Nestle_Inputs!F9</f>
        <v>2.3735553704324501</v>
      </c>
      <c r="G17" s="91">
        <f>$E17/Nestle_Inputs!G9</f>
        <v>2.3617466372462195</v>
      </c>
      <c r="H17" s="91">
        <f>$E17/Nestle_Inputs!H9</f>
        <v>2.3268439788569548</v>
      </c>
      <c r="I17" s="86">
        <f>$E17/Nestle_Inputs!F22</f>
        <v>11.786120857840416</v>
      </c>
      <c r="J17" s="86">
        <f>$E17/Nestle_Inputs!G22</f>
        <v>11.715013029889048</v>
      </c>
      <c r="K17" s="86">
        <f>$E17/Nestle_Inputs!H22</f>
        <v>11.687041824011031</v>
      </c>
      <c r="L17" s="91">
        <f>$E17/Nestle_Inputs!F20</f>
        <v>14.761934123288622</v>
      </c>
      <c r="M17" s="91">
        <f>$E17/Nestle_Inputs!G20</f>
        <v>14.463546209446507</v>
      </c>
      <c r="N17" s="91">
        <f>$E17/Nestle_Inputs!H20</f>
        <v>14.462110619074789</v>
      </c>
      <c r="O17" s="91">
        <f>(Nestle_Inputs!$D$43-Nestle_Inputs!$D$51)/Nestle_Inputs!F28</f>
        <v>16.298725614579912</v>
      </c>
      <c r="P17" s="91">
        <f>(Nestle_Inputs!$D$43-Nestle_Inputs!$D$51)/Nestle_Inputs!G28</f>
        <v>15.755824090567128</v>
      </c>
      <c r="Q17" s="92">
        <f>(Nestle_Inputs!$D$43-Nestle_Inputs!$D$51)/Nestle_Inputs!H28</f>
        <v>15.740666275518576</v>
      </c>
      <c r="S17" s="30" t="s">
        <v>121</v>
      </c>
    </row>
    <row r="19" spans="2:19" ht="15" x14ac:dyDescent="0.3">
      <c r="B19" s="12" t="s">
        <v>122</v>
      </c>
      <c r="C19" s="5"/>
      <c r="D19" s="5"/>
      <c r="E19" s="5"/>
      <c r="F19" s="17">
        <f t="shared" ref="F19:Q19" si="0">IFERROR(MAX(F66:F73),"n.a.")</f>
        <v>8.0110647181628387</v>
      </c>
      <c r="G19" s="17">
        <f t="shared" si="0"/>
        <v>7.64402390438247</v>
      </c>
      <c r="H19" s="17">
        <f t="shared" si="0"/>
        <v>7.2676136363636363</v>
      </c>
      <c r="I19" s="17">
        <f t="shared" si="0"/>
        <v>23.983125000000001</v>
      </c>
      <c r="J19" s="17">
        <f t="shared" si="0"/>
        <v>22.705917159763313</v>
      </c>
      <c r="K19" s="17">
        <f t="shared" si="0"/>
        <v>21.437430167597764</v>
      </c>
      <c r="L19" s="17">
        <f t="shared" si="0"/>
        <v>25.753691275167785</v>
      </c>
      <c r="M19" s="17">
        <f t="shared" si="0"/>
        <v>24.286708860759493</v>
      </c>
      <c r="N19" s="17">
        <f t="shared" si="0"/>
        <v>22.909253731343284</v>
      </c>
      <c r="O19" s="17">
        <f t="shared" si="0"/>
        <v>28.7</v>
      </c>
      <c r="P19" s="17">
        <f t="shared" si="0"/>
        <v>26.739130434782606</v>
      </c>
      <c r="Q19" s="17">
        <f t="shared" si="0"/>
        <v>24.95652173913043</v>
      </c>
      <c r="S19" s="30" t="s">
        <v>123</v>
      </c>
    </row>
    <row r="20" spans="2:19" ht="15" x14ac:dyDescent="0.3">
      <c r="B20" s="3" t="s">
        <v>124</v>
      </c>
      <c r="F20" s="11">
        <f t="shared" ref="F20:Q20" si="1">IFERROR(QUARTILE(F66:F73,3),"n.a.")</f>
        <v>3.0101052164979207</v>
      </c>
      <c r="G20" s="11">
        <f t="shared" si="1"/>
        <v>2.9251828903205896</v>
      </c>
      <c r="H20" s="11">
        <f t="shared" si="1"/>
        <v>2.8270211281290938</v>
      </c>
      <c r="I20" s="11">
        <f t="shared" si="1"/>
        <v>13.075320811908679</v>
      </c>
      <c r="J20" s="11">
        <f t="shared" si="1"/>
        <v>12.501214300033412</v>
      </c>
      <c r="K20" s="11">
        <f t="shared" si="1"/>
        <v>11.855309308590243</v>
      </c>
      <c r="L20" s="11">
        <f t="shared" si="1"/>
        <v>15.76366618357488</v>
      </c>
      <c r="M20" s="11">
        <f t="shared" si="1"/>
        <v>15.067898537825812</v>
      </c>
      <c r="N20" s="11">
        <f t="shared" si="1"/>
        <v>14.226403076923075</v>
      </c>
      <c r="O20" s="11">
        <f t="shared" si="1"/>
        <v>21.213434287302029</v>
      </c>
      <c r="P20" s="11">
        <f t="shared" si="1"/>
        <v>19.119945355191255</v>
      </c>
      <c r="Q20" s="11">
        <f t="shared" si="1"/>
        <v>17.406062384705685</v>
      </c>
    </row>
    <row r="21" spans="2:19" ht="15" x14ac:dyDescent="0.3">
      <c r="B21" s="3" t="s">
        <v>125</v>
      </c>
      <c r="F21" s="11">
        <f t="shared" ref="F21:Q21" si="2">IFERROR(AVERAGE(F66:F73),"n.a.")</f>
        <v>3.0007425672990751</v>
      </c>
      <c r="G21" s="11">
        <f t="shared" si="2"/>
        <v>2.9218637815088382</v>
      </c>
      <c r="H21" s="11">
        <f t="shared" si="2"/>
        <v>2.8236498612097183</v>
      </c>
      <c r="I21" s="11">
        <f t="shared" si="2"/>
        <v>12.682637940939072</v>
      </c>
      <c r="J21" s="11">
        <f t="shared" si="2"/>
        <v>12.20862631666302</v>
      </c>
      <c r="K21" s="11">
        <f t="shared" si="2"/>
        <v>11.675456050797472</v>
      </c>
      <c r="L21" s="11">
        <f t="shared" si="2"/>
        <v>14.938517210249051</v>
      </c>
      <c r="M21" s="11">
        <f t="shared" si="2"/>
        <v>14.352465220313128</v>
      </c>
      <c r="N21" s="11">
        <f t="shared" si="2"/>
        <v>13.690730886919376</v>
      </c>
      <c r="O21" s="11">
        <f t="shared" si="2"/>
        <v>17.572102680397535</v>
      </c>
      <c r="P21" s="11">
        <f t="shared" si="2"/>
        <v>16.56029648933194</v>
      </c>
      <c r="Q21" s="11">
        <f t="shared" si="2"/>
        <v>15.490233105679195</v>
      </c>
    </row>
    <row r="22" spans="2:19" ht="15" x14ac:dyDescent="0.3">
      <c r="B22" s="1" t="s">
        <v>126</v>
      </c>
      <c r="F22" s="85">
        <f t="shared" ref="F22:Q22" si="3">IFERROR(MEDIAN(F66:F73),"n.a.")</f>
        <v>2.3412800663872866</v>
      </c>
      <c r="G22" s="86">
        <f t="shared" si="3"/>
        <v>2.2795072595109978</v>
      </c>
      <c r="H22" s="86">
        <f t="shared" si="3"/>
        <v>2.203882475793602</v>
      </c>
      <c r="I22" s="86">
        <f t="shared" si="3"/>
        <v>12.646729687652039</v>
      </c>
      <c r="J22" s="86">
        <f t="shared" si="3"/>
        <v>11.537646654368608</v>
      </c>
      <c r="K22" s="86">
        <f t="shared" si="3"/>
        <v>10.92439133177149</v>
      </c>
      <c r="L22" s="86">
        <f t="shared" si="3"/>
        <v>15.085598745526919</v>
      </c>
      <c r="M22" s="86">
        <f t="shared" si="3"/>
        <v>13.579037030411449</v>
      </c>
      <c r="N22" s="86">
        <f t="shared" si="3"/>
        <v>12.820879753890701</v>
      </c>
      <c r="O22" s="86">
        <f t="shared" si="3"/>
        <v>16.981657848324517</v>
      </c>
      <c r="P22" s="86">
        <f t="shared" si="3"/>
        <v>16.191274696620198</v>
      </c>
      <c r="Q22" s="87">
        <f t="shared" si="3"/>
        <v>15.219934379710917</v>
      </c>
    </row>
    <row r="23" spans="2:19" ht="15" x14ac:dyDescent="0.3">
      <c r="B23" s="3" t="s">
        <v>127</v>
      </c>
      <c r="F23" s="11">
        <f t="shared" ref="F23:Q23" si="4">IFERROR(QUARTILE(F66:F73,1),"n.a.")</f>
        <v>1.7980374238725647</v>
      </c>
      <c r="G23" s="11">
        <f t="shared" si="4"/>
        <v>1.8479191142805313</v>
      </c>
      <c r="H23" s="11">
        <f t="shared" si="4"/>
        <v>1.8526194899957036</v>
      </c>
      <c r="I23" s="11">
        <f t="shared" si="4"/>
        <v>9.3028697360502424</v>
      </c>
      <c r="J23" s="11">
        <f t="shared" si="4"/>
        <v>9.1720519437567205</v>
      </c>
      <c r="K23" s="11">
        <f t="shared" si="4"/>
        <v>8.9223139302059487</v>
      </c>
      <c r="L23" s="11">
        <f t="shared" si="4"/>
        <v>11.906142779564213</v>
      </c>
      <c r="M23" s="11">
        <f t="shared" si="4"/>
        <v>11.666921476625276</v>
      </c>
      <c r="N23" s="11">
        <f t="shared" si="4"/>
        <v>11.136638173049237</v>
      </c>
      <c r="O23" s="11">
        <f t="shared" si="4"/>
        <v>13.508746430028561</v>
      </c>
      <c r="P23" s="11">
        <f t="shared" si="4"/>
        <v>13.378606965174129</v>
      </c>
      <c r="Q23" s="11">
        <f t="shared" si="4"/>
        <v>12.571552002583978</v>
      </c>
    </row>
    <row r="24" spans="2:19" ht="15" x14ac:dyDescent="0.3">
      <c r="B24" s="3" t="s">
        <v>128</v>
      </c>
      <c r="F24" s="11">
        <f t="shared" ref="F24:Q24" si="5">IFERROR(MIN(F66:F73),"n.a.")</f>
        <v>1.6541033922088333</v>
      </c>
      <c r="G24" s="11">
        <f t="shared" si="5"/>
        <v>1.6508745583038869</v>
      </c>
      <c r="H24" s="11">
        <f t="shared" si="5"/>
        <v>1.5918143100511073</v>
      </c>
      <c r="I24" s="11">
        <f t="shared" si="5"/>
        <v>7.7364661016949157</v>
      </c>
      <c r="J24" s="11">
        <f t="shared" si="5"/>
        <v>8.5318037383177572</v>
      </c>
      <c r="K24" s="11">
        <f t="shared" si="5"/>
        <v>8.6122924528301894</v>
      </c>
      <c r="L24" s="11">
        <f t="shared" si="5"/>
        <v>9.2212424242424245</v>
      </c>
      <c r="M24" s="11">
        <f t="shared" si="5"/>
        <v>10.373897727272727</v>
      </c>
      <c r="N24" s="11">
        <f t="shared" si="5"/>
        <v>10.493137931034482</v>
      </c>
      <c r="O24" s="11">
        <f t="shared" si="5"/>
        <v>8.4735785953177274</v>
      </c>
      <c r="P24" s="11">
        <f t="shared" si="5"/>
        <v>9.8737334372564316</v>
      </c>
      <c r="Q24" s="11">
        <f t="shared" si="5"/>
        <v>9.7421174057933868</v>
      </c>
    </row>
    <row r="26" spans="2:19" ht="15" x14ac:dyDescent="0.3">
      <c r="B26" s="12" t="s">
        <v>129</v>
      </c>
      <c r="C26" s="5"/>
      <c r="D26" s="5"/>
      <c r="E26" s="5"/>
      <c r="F26" s="17">
        <f t="shared" ref="F26:Q26" si="6">IFERROR(QUARTILE(F77:F84,3),"n.a.")</f>
        <v>2.5373680870480868</v>
      </c>
      <c r="G26" s="17">
        <f t="shared" si="6"/>
        <v>2.4720486566993181</v>
      </c>
      <c r="H26" s="17">
        <f t="shared" si="6"/>
        <v>2.388534580639408</v>
      </c>
      <c r="I26" s="17">
        <f t="shared" si="6"/>
        <v>12.841091587909998</v>
      </c>
      <c r="J26" s="17">
        <f t="shared" si="6"/>
        <v>12.501214300033412</v>
      </c>
      <c r="K26" s="17">
        <f t="shared" si="6"/>
        <v>11.855309308590243</v>
      </c>
      <c r="L26" s="17">
        <f t="shared" si="6"/>
        <v>15.521849543295579</v>
      </c>
      <c r="M26" s="17">
        <f t="shared" si="6"/>
        <v>15.067898537825812</v>
      </c>
      <c r="N26" s="17">
        <f t="shared" si="6"/>
        <v>14.226403076923075</v>
      </c>
      <c r="O26" s="17">
        <f t="shared" si="6"/>
        <v>18.737772397094432</v>
      </c>
      <c r="P26" s="17">
        <f t="shared" si="6"/>
        <v>17.873409280355652</v>
      </c>
      <c r="Q26" s="17">
        <f t="shared" si="6"/>
        <v>16.615209665955938</v>
      </c>
      <c r="S26" s="30" t="s">
        <v>130</v>
      </c>
    </row>
    <row r="27" spans="2:19" ht="15" x14ac:dyDescent="0.3">
      <c r="B27" s="1" t="s">
        <v>131</v>
      </c>
      <c r="F27" s="94">
        <f t="shared" ref="F27:Q27" si="7">IFERROR(QUARTILE(F77:F84,2),"n.a.")</f>
        <v>2.3412800663872866</v>
      </c>
      <c r="G27" s="95">
        <f t="shared" si="7"/>
        <v>2.2795072595109978</v>
      </c>
      <c r="H27" s="95">
        <f t="shared" si="7"/>
        <v>2.203882475793602</v>
      </c>
      <c r="I27" s="95">
        <f t="shared" si="7"/>
        <v>12.646729687652039</v>
      </c>
      <c r="J27" s="95">
        <f t="shared" si="7"/>
        <v>12.254100118753996</v>
      </c>
      <c r="K27" s="95">
        <f t="shared" si="7"/>
        <v>11.68484400330852</v>
      </c>
      <c r="L27" s="95">
        <f t="shared" si="7"/>
        <v>15.085598745526919</v>
      </c>
      <c r="M27" s="95">
        <f t="shared" si="7"/>
        <v>14.627131436005856</v>
      </c>
      <c r="N27" s="95">
        <f t="shared" si="7"/>
        <v>13.908099829059829</v>
      </c>
      <c r="O27" s="95">
        <f t="shared" si="7"/>
        <v>16.981657848324517</v>
      </c>
      <c r="P27" s="95">
        <f t="shared" si="7"/>
        <v>16.191274696620198</v>
      </c>
      <c r="Q27" s="96">
        <f t="shared" si="7"/>
        <v>15.219934379710917</v>
      </c>
    </row>
    <row r="28" spans="2:19" ht="15" x14ac:dyDescent="0.3">
      <c r="B28" s="3" t="s">
        <v>132</v>
      </c>
      <c r="F28" s="11">
        <f t="shared" ref="F28:Q28" si="8">IFERROR(QUARTILE(F77:F84,1),"n.a.")</f>
        <v>2.1393324996944778</v>
      </c>
      <c r="G28" s="11">
        <f t="shared" si="8"/>
        <v>2.0838401349030744</v>
      </c>
      <c r="H28" s="11">
        <f t="shared" si="8"/>
        <v>2.0153304619348873</v>
      </c>
      <c r="I28" s="11">
        <f t="shared" si="8"/>
        <v>11.762091586233325</v>
      </c>
      <c r="J28" s="11">
        <f t="shared" si="8"/>
        <v>11.344690263280366</v>
      </c>
      <c r="K28" s="11">
        <f t="shared" si="8"/>
        <v>10.847573747877759</v>
      </c>
      <c r="L28" s="11">
        <f t="shared" si="8"/>
        <v>14.146202245123298</v>
      </c>
      <c r="M28" s="11">
        <f t="shared" si="8"/>
        <v>13.677942056993123</v>
      </c>
      <c r="N28" s="11">
        <f t="shared" si="8"/>
        <v>13.033187608695652</v>
      </c>
      <c r="O28" s="11">
        <f t="shared" si="8"/>
        <v>15.415813840155945</v>
      </c>
      <c r="P28" s="11">
        <f t="shared" si="8"/>
        <v>14.726909093585329</v>
      </c>
      <c r="Q28" s="11">
        <f t="shared" si="8"/>
        <v>13.855579479619283</v>
      </c>
    </row>
    <row r="29" spans="2:19" ht="15" x14ac:dyDescent="0.3">
      <c r="B29" s="3" t="s">
        <v>133</v>
      </c>
      <c r="F29" s="11">
        <f t="shared" ref="F29:Q29" si="9">IFERROR(MEDIAN(F88:F95),"n.a.")</f>
        <v>2.4995451732999099</v>
      </c>
      <c r="G29" s="11">
        <f t="shared" si="9"/>
        <v>2.4519443655723161</v>
      </c>
      <c r="H29" s="11">
        <f t="shared" si="9"/>
        <v>2.4024793654951138</v>
      </c>
      <c r="I29" s="11">
        <f t="shared" si="9"/>
        <v>10.957849239926256</v>
      </c>
      <c r="J29" s="11">
        <f t="shared" si="9"/>
        <v>10.032035928491979</v>
      </c>
      <c r="K29" s="11">
        <f t="shared" si="9"/>
        <v>9.6408847866569509</v>
      </c>
      <c r="L29" s="11">
        <f t="shared" si="9"/>
        <v>13.101695905507196</v>
      </c>
      <c r="M29" s="11">
        <f t="shared" si="9"/>
        <v>11.84213926961025</v>
      </c>
      <c r="N29" s="11">
        <f t="shared" si="9"/>
        <v>11.358746003370815</v>
      </c>
      <c r="O29" s="11">
        <f t="shared" si="9"/>
        <v>17.357764646079552</v>
      </c>
      <c r="P29" s="11">
        <f t="shared" si="9"/>
        <v>15.116666666666667</v>
      </c>
      <c r="Q29" s="11">
        <f t="shared" si="9"/>
        <v>14.109903318526262</v>
      </c>
    </row>
    <row r="30" spans="2:19" ht="15" x14ac:dyDescent="0.3">
      <c r="B30" s="18" t="s">
        <v>134</v>
      </c>
      <c r="F30" s="19">
        <f t="shared" ref="F30:Q30" si="10">IFERROR(F17/F22-1,"n.a.")</f>
        <v>1.3785323895473045E-2</v>
      </c>
      <c r="G30" s="19">
        <f t="shared" si="10"/>
        <v>3.6077699420384191E-2</v>
      </c>
      <c r="H30" s="19">
        <f t="shared" si="10"/>
        <v>5.5793130719947071E-2</v>
      </c>
      <c r="I30" s="19">
        <f t="shared" si="10"/>
        <v>-6.8049911009950725E-2</v>
      </c>
      <c r="J30" s="19">
        <f t="shared" si="10"/>
        <v>1.5372838225486962E-2</v>
      </c>
      <c r="K30" s="19">
        <f t="shared" si="10"/>
        <v>6.9811714820350534E-2</v>
      </c>
      <c r="L30" s="19">
        <f t="shared" si="10"/>
        <v>-2.1455205570429792E-2</v>
      </c>
      <c r="M30" s="19">
        <f t="shared" si="10"/>
        <v>6.5137842768535181E-2</v>
      </c>
      <c r="N30" s="19">
        <f t="shared" si="10"/>
        <v>0.12801234366822833</v>
      </c>
      <c r="O30" s="19">
        <f t="shared" si="10"/>
        <v>-4.0215875260493861E-2</v>
      </c>
      <c r="P30" s="19">
        <f t="shared" si="10"/>
        <v>-2.6894152203097876E-2</v>
      </c>
      <c r="Q30" s="19">
        <f t="shared" si="10"/>
        <v>3.4213806894057619E-2</v>
      </c>
      <c r="S30" s="371" t="s">
        <v>401</v>
      </c>
    </row>
    <row r="31" spans="2:19" ht="15" x14ac:dyDescent="0.3">
      <c r="B31" s="18" t="s">
        <v>135</v>
      </c>
      <c r="F31" s="19">
        <f t="shared" ref="F31:Q31" si="11">IFERROR(F17/F27-1,"n.a.")</f>
        <v>1.3785323895473045E-2</v>
      </c>
      <c r="G31" s="19">
        <f t="shared" si="11"/>
        <v>3.6077699420384191E-2</v>
      </c>
      <c r="H31" s="19">
        <f t="shared" si="11"/>
        <v>5.5793130719947071E-2</v>
      </c>
      <c r="I31" s="19">
        <f t="shared" si="11"/>
        <v>-6.8049911009950725E-2</v>
      </c>
      <c r="J31" s="19">
        <f t="shared" si="11"/>
        <v>-4.3992384886746172E-2</v>
      </c>
      <c r="K31" s="19">
        <f t="shared" si="11"/>
        <v>1.8809157416987965E-4</v>
      </c>
      <c r="L31" s="19">
        <f t="shared" si="11"/>
        <v>-2.1455205570429792E-2</v>
      </c>
      <c r="M31" s="19">
        <f t="shared" si="11"/>
        <v>-1.1183684735112887E-2</v>
      </c>
      <c r="N31" s="19">
        <f t="shared" si="11"/>
        <v>3.9833679425955726E-2</v>
      </c>
      <c r="O31" s="19">
        <f t="shared" si="11"/>
        <v>-4.0215875260493861E-2</v>
      </c>
      <c r="P31" s="19">
        <f t="shared" si="11"/>
        <v>-2.6894152203097876E-2</v>
      </c>
      <c r="Q31" s="19">
        <f t="shared" si="11"/>
        <v>3.4213806894057619E-2</v>
      </c>
    </row>
    <row r="35" spans="2:19" x14ac:dyDescent="0.3">
      <c r="E35" s="70" t="s">
        <v>342</v>
      </c>
      <c r="F35" s="71"/>
      <c r="G35" s="70" t="s">
        <v>343</v>
      </c>
      <c r="H35" s="72"/>
      <c r="I35" s="71"/>
      <c r="J35" s="73" t="s">
        <v>345</v>
      </c>
      <c r="K35" s="70" t="s">
        <v>344</v>
      </c>
      <c r="L35" s="71"/>
      <c r="M35" s="73"/>
    </row>
    <row r="36" spans="2:19" ht="39.6" x14ac:dyDescent="0.3">
      <c r="B36" s="41" t="s">
        <v>136</v>
      </c>
      <c r="C36" s="41" t="s">
        <v>111</v>
      </c>
      <c r="D36" s="41" t="s">
        <v>341</v>
      </c>
      <c r="E36" s="53" t="s">
        <v>339</v>
      </c>
      <c r="F36" s="54" t="s">
        <v>340</v>
      </c>
      <c r="G36" s="53" t="s">
        <v>118</v>
      </c>
      <c r="H36" s="41" t="s">
        <v>339</v>
      </c>
      <c r="I36" s="54" t="s">
        <v>340</v>
      </c>
      <c r="J36" s="63" t="s">
        <v>339</v>
      </c>
      <c r="K36" s="53" t="s">
        <v>339</v>
      </c>
      <c r="L36" s="54" t="s">
        <v>340</v>
      </c>
      <c r="M36" s="63" t="s">
        <v>346</v>
      </c>
    </row>
    <row r="37" spans="2:19" ht="15" x14ac:dyDescent="0.3">
      <c r="B37" s="33" t="str">
        <f>Peer_Inputs!B13</f>
        <v>Danone</v>
      </c>
      <c r="C37" s="15">
        <f>Peer_Inputs!D13</f>
        <v>1</v>
      </c>
      <c r="D37" s="9">
        <f>Peer_Inputs!E25*Peer_Inputs!N13</f>
        <v>26319</v>
      </c>
      <c r="E37" s="55">
        <f>Peer_Inputs!E25/Peer_Inputs!D25-1</f>
        <v>3.0965391621129434E-2</v>
      </c>
      <c r="F37" s="56">
        <f>Peer_Inputs!F25/Peer_Inputs!E25-1</f>
        <v>3.7102473498233257E-2</v>
      </c>
      <c r="G37" s="55">
        <f>Peer_Inputs!G25/Peer_Inputs!D25</f>
        <v>0.17686703096539161</v>
      </c>
      <c r="H37" s="61">
        <f>Peer_Inputs!H25/Peer_Inputs!E25</f>
        <v>0.17915194346289753</v>
      </c>
      <c r="I37" s="56">
        <f>Peer_Inputs!I25/Peer_Inputs!F25</f>
        <v>0.18126064735945485</v>
      </c>
      <c r="J37" s="64">
        <f>Peer_Inputs!K25/Peer_Inputs!E25</f>
        <v>0.13798586572438162</v>
      </c>
      <c r="K37" s="55">
        <f>Peer_Inputs!N25/Peer_Inputs!M25-1</f>
        <v>5.7894736842105221E-2</v>
      </c>
      <c r="L37" s="56">
        <f>Peer_Inputs!O25/Peer_Inputs!N25-1</f>
        <v>7.4626865671642006E-2</v>
      </c>
      <c r="M37" s="67">
        <f>Peer_Inputs!J13/Peer_Inputs!G25</f>
        <v>2.0185375901132852</v>
      </c>
      <c r="S37" s="30" t="s">
        <v>137</v>
      </c>
    </row>
    <row r="38" spans="2:19" ht="15" x14ac:dyDescent="0.3">
      <c r="B38" s="33" t="str">
        <f>Peer_Inputs!B14</f>
        <v>Unilever</v>
      </c>
      <c r="C38" s="15">
        <f>Peer_Inputs!D14</f>
        <v>1</v>
      </c>
      <c r="D38" s="9">
        <f>Peer_Inputs!E26*Peer_Inputs!N14</f>
        <v>49197</v>
      </c>
      <c r="E38" s="55">
        <f>Peer_Inputs!E26/Peer_Inputs!D26-1</f>
        <v>2.1235521235521304E-2</v>
      </c>
      <c r="F38" s="56">
        <f>Peer_Inputs!F26/Peer_Inputs!E26-1</f>
        <v>3.402646502835549E-2</v>
      </c>
      <c r="G38" s="55">
        <f>Peer_Inputs!G26/Peer_Inputs!D26</f>
        <v>0.23069498069498071</v>
      </c>
      <c r="H38" s="61">
        <f>Peer_Inputs!H26/Peer_Inputs!E26</f>
        <v>0.23251417769376181</v>
      </c>
      <c r="I38" s="56">
        <f>Peer_Inputs!I26/Peer_Inputs!F26</f>
        <v>0.23491773308957953</v>
      </c>
      <c r="J38" s="64">
        <f>Peer_Inputs!K26/Peer_Inputs!E26</f>
        <v>0.20321361058601134</v>
      </c>
      <c r="K38" s="55">
        <f>Peer_Inputs!N26/Peer_Inputs!M26-1</f>
        <v>5.3571428571428603E-2</v>
      </c>
      <c r="L38" s="56">
        <f>Peer_Inputs!O26/Peer_Inputs!N26-1</f>
        <v>6.7796610169491345E-2</v>
      </c>
      <c r="M38" s="67">
        <f>Peer_Inputs!J14/Peer_Inputs!G26</f>
        <v>1.8828451882845187</v>
      </c>
    </row>
    <row r="39" spans="2:19" ht="15" x14ac:dyDescent="0.3">
      <c r="B39" s="33" t="str">
        <f>Peer_Inputs!B15</f>
        <v>PepsiCo</v>
      </c>
      <c r="C39" s="15">
        <f>Peer_Inputs!D15</f>
        <v>1</v>
      </c>
      <c r="D39" s="9">
        <f>Peer_Inputs!E27*Peer_Inputs!N15</f>
        <v>76077</v>
      </c>
      <c r="E39" s="55">
        <f>Peer_Inputs!E27/Peer_Inputs!D27-1</f>
        <v>2.5559105431310014E-2</v>
      </c>
      <c r="F39" s="56">
        <f>Peer_Inputs!F27/Peer_Inputs!E27-1</f>
        <v>3.3229491173416337E-2</v>
      </c>
      <c r="G39" s="55">
        <f>Peer_Inputs!G27/Peer_Inputs!D27</f>
        <v>0.18317358892438765</v>
      </c>
      <c r="H39" s="61">
        <f>Peer_Inputs!H27/Peer_Inputs!E27</f>
        <v>0.18483904465212878</v>
      </c>
      <c r="I39" s="56">
        <f>Peer_Inputs!I27/Peer_Inputs!F27</f>
        <v>0.18693467336683417</v>
      </c>
      <c r="J39" s="64">
        <f>Peer_Inputs!K27/Peer_Inputs!E27</f>
        <v>0.14849428868120457</v>
      </c>
      <c r="K39" s="55">
        <f>Peer_Inputs!N27/Peer_Inputs!M27-1</f>
        <v>4.3209876543209846E-2</v>
      </c>
      <c r="L39" s="56">
        <f>Peer_Inputs!O27/Peer_Inputs!N27-1</f>
        <v>5.9171597633136175E-2</v>
      </c>
      <c r="M39" s="67">
        <f>Peer_Inputs!J15/Peer_Inputs!G27</f>
        <v>2.5290697674418605</v>
      </c>
    </row>
    <row r="40" spans="2:19" ht="15" x14ac:dyDescent="0.3">
      <c r="B40" s="33" t="str">
        <f>Peer_Inputs!B16</f>
        <v>Mondelez</v>
      </c>
      <c r="C40" s="15">
        <f>Peer_Inputs!D16</f>
        <v>1</v>
      </c>
      <c r="D40" s="9">
        <f>Peer_Inputs!E28*Peer_Inputs!N16</f>
        <v>31284</v>
      </c>
      <c r="E40" s="55">
        <f>Peer_Inputs!E28/Peer_Inputs!D28-1</f>
        <v>2.857142857142847E-2</v>
      </c>
      <c r="F40" s="56">
        <f>Peer_Inputs!F28/Peer_Inputs!E28-1</f>
        <v>3.5353535353535248E-2</v>
      </c>
      <c r="G40" s="55">
        <f>Peer_Inputs!G28/Peer_Inputs!D28</f>
        <v>0.18571428571428572</v>
      </c>
      <c r="H40" s="61">
        <f>Peer_Inputs!H28/Peer_Inputs!E28</f>
        <v>0.18434343434343434</v>
      </c>
      <c r="I40" s="56">
        <f>Peer_Inputs!I28/Peer_Inputs!F28</f>
        <v>0.19024390243902439</v>
      </c>
      <c r="J40" s="64">
        <f>Peer_Inputs!K28/Peer_Inputs!E28</f>
        <v>0.15277777777777779</v>
      </c>
      <c r="K40" s="55">
        <f>Peer_Inputs!N28/Peer_Inputs!M28-1</f>
        <v>3.3898305084745672E-2</v>
      </c>
      <c r="L40" s="56">
        <f>Peer_Inputs!O28/Peer_Inputs!N28-1</f>
        <v>9.8360655737705027E-2</v>
      </c>
      <c r="M40" s="67">
        <f>Peer_Inputs!J16/Peer_Inputs!G28</f>
        <v>2.7272727272727271</v>
      </c>
    </row>
    <row r="41" spans="2:19" ht="15" x14ac:dyDescent="0.3">
      <c r="B41" s="33" t="str">
        <f>Peer_Inputs!B17</f>
        <v>Coca-Cola</v>
      </c>
      <c r="C41" s="15">
        <f>Peer_Inputs!D17</f>
        <v>2</v>
      </c>
      <c r="D41" s="9">
        <f>Peer_Inputs!E29*Peer_Inputs!N17</f>
        <v>39658</v>
      </c>
      <c r="E41" s="55">
        <f>Peer_Inputs!E29/Peer_Inputs!D29-1</f>
        <v>4.8016701461377931E-2</v>
      </c>
      <c r="F41" s="56">
        <f>Peer_Inputs!F29/Peer_Inputs!E29-1</f>
        <v>5.1792828685258918E-2</v>
      </c>
      <c r="G41" s="55">
        <f>Peer_Inputs!G29/Peer_Inputs!D29</f>
        <v>0.33402922755741127</v>
      </c>
      <c r="H41" s="61">
        <f>Peer_Inputs!H29/Peer_Inputs!E29</f>
        <v>0.33665338645418325</v>
      </c>
      <c r="I41" s="56">
        <f>Peer_Inputs!I29/Peer_Inputs!F29</f>
        <v>0.33901515151515149</v>
      </c>
      <c r="J41" s="64">
        <f>Peer_Inputs!K29/Peer_Inputs!E29</f>
        <v>0.3147410358565737</v>
      </c>
      <c r="K41" s="55">
        <f>Peer_Inputs!N29/Peer_Inputs!M29-1</f>
        <v>7.3333333333333472E-2</v>
      </c>
      <c r="L41" s="56">
        <f>Peer_Inputs!O29/Peer_Inputs!N29-1</f>
        <v>7.1428571428571397E-2</v>
      </c>
      <c r="M41" s="67">
        <f>Peer_Inputs!J17/Peer_Inputs!G29</f>
        <v>1.9375</v>
      </c>
    </row>
    <row r="42" spans="2:19" ht="15" x14ac:dyDescent="0.3">
      <c r="B42" s="33" t="str">
        <f>Peer_Inputs!B18</f>
        <v>Hershey</v>
      </c>
      <c r="C42" s="15">
        <f>Peer_Inputs!D18</f>
        <v>2</v>
      </c>
      <c r="D42" s="9">
        <f>Peer_Inputs!E30*Peer_Inputs!N18</f>
        <v>9677.5</v>
      </c>
      <c r="E42" s="55">
        <f>Peer_Inputs!E30/Peer_Inputs!D30-1</f>
        <v>5.1502145922746712E-2</v>
      </c>
      <c r="F42" s="56">
        <f>Peer_Inputs!F30/Peer_Inputs!E30-1</f>
        <v>3.6734693877551017E-2</v>
      </c>
      <c r="G42" s="55">
        <f>Peer_Inputs!G30/Peer_Inputs!D30</f>
        <v>0.23347639484978541</v>
      </c>
      <c r="H42" s="61">
        <f>Peer_Inputs!H30/Peer_Inputs!E30</f>
        <v>0.27346938775510204</v>
      </c>
      <c r="I42" s="56">
        <f>Peer_Inputs!I30/Peer_Inputs!F30</f>
        <v>0.28188976377952757</v>
      </c>
      <c r="J42" s="64">
        <f>Peer_Inputs!K30/Peer_Inputs!E30</f>
        <v>0.23346938775510204</v>
      </c>
      <c r="K42" s="55">
        <f>Peer_Inputs!N30/Peer_Inputs!M30-1</f>
        <v>0.32786885245901631</v>
      </c>
      <c r="L42" s="56">
        <f>Peer_Inputs!O30/Peer_Inputs!N30-1</f>
        <v>9.8765432098765427E-2</v>
      </c>
      <c r="M42" s="67">
        <f>Peer_Inputs!J18/Peer_Inputs!G30</f>
        <v>1.8014705882352942</v>
      </c>
    </row>
    <row r="43" spans="2:19" ht="15" x14ac:dyDescent="0.3">
      <c r="B43" s="33" t="str">
        <f>Peer_Inputs!B19</f>
        <v>General Mills</v>
      </c>
      <c r="C43" s="15">
        <f>Peer_Inputs!D19</f>
        <v>2</v>
      </c>
      <c r="D43" s="9">
        <f>Peer_Inputs!E31*Peer_Inputs!N19</f>
        <v>14200.25</v>
      </c>
      <c r="E43" s="55">
        <f>Peer_Inputs!E31/Peer_Inputs!D31-1</f>
        <v>-3.9134017863108994E-2</v>
      </c>
      <c r="F43" s="56">
        <f>Peer_Inputs!F31/Peer_Inputs!E31-1</f>
        <v>2.7816411682892728E-3</v>
      </c>
      <c r="G43" s="55">
        <f>Peer_Inputs!G31/Peer_Inputs!D31</f>
        <v>0.19827605407933713</v>
      </c>
      <c r="H43" s="61">
        <f>Peer_Inputs!H31/Peer_Inputs!E31</f>
        <v>0.19035697728326381</v>
      </c>
      <c r="I43" s="56">
        <f>Peer_Inputs!I31/Peer_Inputs!F31</f>
        <v>0.1914008321775312</v>
      </c>
      <c r="J43" s="64">
        <f>Peer_Inputs!K31/Peer_Inputs!E31</f>
        <v>0.15975892443208162</v>
      </c>
      <c r="K43" s="55">
        <f>Peer_Inputs!N31/Peer_Inputs!M31-1</f>
        <v>-0.14180602006688958</v>
      </c>
      <c r="L43" s="56">
        <f>Peer_Inputs!O31/Peer_Inputs!N31-1</f>
        <v>1.3510002598077442E-2</v>
      </c>
      <c r="M43" s="67">
        <f>Peer_Inputs!J19/Peer_Inputs!G31</f>
        <v>3.8283531790608847</v>
      </c>
    </row>
    <row r="44" spans="2:19" ht="15" x14ac:dyDescent="0.3">
      <c r="B44" s="33" t="str">
        <f>Peer_Inputs!B20</f>
        <v>Kraft Heinz</v>
      </c>
      <c r="C44" s="97">
        <f>Peer_Inputs!D20</f>
        <v>2</v>
      </c>
      <c r="D44" s="98">
        <f>Peer_Inputs!E32*Peer_Inputs!N20</f>
        <v>19078.5</v>
      </c>
      <c r="E44" s="55">
        <f>Peer_Inputs!E32/Peer_Inputs!D32-1</f>
        <v>-3.175366851094541E-2</v>
      </c>
      <c r="F44" s="56">
        <f>Peer_Inputs!F32/Peer_Inputs!E32-1</f>
        <v>-4.1407867494823725E-3</v>
      </c>
      <c r="G44" s="55">
        <f>Peer_Inputs!G32/Peer_Inputs!D32</f>
        <v>0.23654879320022451</v>
      </c>
      <c r="H44" s="61">
        <f>Peer_Inputs!H32/Peer_Inputs!E32</f>
        <v>0.22153209109730848</v>
      </c>
      <c r="I44" s="56">
        <f>Peer_Inputs!I32/Peer_Inputs!F32</f>
        <v>0.22037422037422039</v>
      </c>
      <c r="J44" s="64">
        <f>Peer_Inputs!K32/Peer_Inputs!E32</f>
        <v>0.18219461697722567</v>
      </c>
      <c r="K44" s="55">
        <f>Peer_Inputs!N32/Peer_Inputs!M32-1</f>
        <v>-0.18604651162790697</v>
      </c>
      <c r="L44" s="56">
        <f>Peer_Inputs!O32/Peer_Inputs!N32-1</f>
        <v>2.3809523809523725E-2</v>
      </c>
      <c r="M44" s="67">
        <f>Peer_Inputs!J20/Peer_Inputs!G32</f>
        <v>3.2542372881355934</v>
      </c>
    </row>
    <row r="45" spans="2:19" ht="15" x14ac:dyDescent="0.3">
      <c r="B45" s="99" t="s">
        <v>138</v>
      </c>
      <c r="C45" s="100" t="s">
        <v>120</v>
      </c>
      <c r="D45" s="101">
        <f>Nestle_Inputs!G9</f>
        <v>89937.45</v>
      </c>
      <c r="E45" s="102">
        <f>Nestle_Inputs!G10</f>
        <v>4.9999999999998934E-3</v>
      </c>
      <c r="F45" s="103">
        <f>Nestle_Inputs!H10</f>
        <v>1.4999999444058165E-2</v>
      </c>
      <c r="G45" s="102">
        <f>Nestle_Inputs!F23</f>
        <v>0.20138562967929377</v>
      </c>
      <c r="H45" s="104">
        <f>Nestle_Inputs!G23</f>
        <v>0.20160000088950711</v>
      </c>
      <c r="I45" s="103">
        <f>Nestle_Inputs!H23</f>
        <v>0.1990960598837298</v>
      </c>
      <c r="J45" s="105">
        <f>Nestle_Inputs!G24</f>
        <v>0.16328959738129109</v>
      </c>
      <c r="K45" s="102">
        <f>Nestle_Inputs!G34</f>
        <v>3.3978773143713781E-2</v>
      </c>
      <c r="L45" s="103">
        <f>Nestle_Inputs!H34</f>
        <v>5.1369751006760112E-3</v>
      </c>
      <c r="M45" s="106">
        <f>Nestle_Inputs!D44/Nestle_Inputs!F22</f>
        <v>3.1264010653645546</v>
      </c>
      <c r="S45" s="30" t="s">
        <v>139</v>
      </c>
    </row>
    <row r="46" spans="2:19" ht="15" x14ac:dyDescent="0.3">
      <c r="B46" s="4" t="s">
        <v>30</v>
      </c>
      <c r="C46" s="5"/>
      <c r="D46" s="20">
        <f t="shared" ref="D46:M46" si="12">MEDIAN(D37:D44)</f>
        <v>28801.5</v>
      </c>
      <c r="E46" s="57">
        <f t="shared" si="12"/>
        <v>2.7065267001369242E-2</v>
      </c>
      <c r="F46" s="58">
        <f t="shared" si="12"/>
        <v>3.4690000190945369E-2</v>
      </c>
      <c r="G46" s="57">
        <f t="shared" si="12"/>
        <v>0.21448551738715893</v>
      </c>
      <c r="H46" s="13">
        <f t="shared" si="12"/>
        <v>0.20594453419028613</v>
      </c>
      <c r="I46" s="58">
        <f t="shared" si="12"/>
        <v>0.20588752627587581</v>
      </c>
      <c r="J46" s="65">
        <f t="shared" si="12"/>
        <v>0.17097677070465364</v>
      </c>
      <c r="K46" s="57">
        <f t="shared" si="12"/>
        <v>4.8390652557319225E-2</v>
      </c>
      <c r="L46" s="58">
        <f t="shared" si="12"/>
        <v>6.9612590799031371E-2</v>
      </c>
      <c r="M46" s="68">
        <f t="shared" si="12"/>
        <v>2.2738036787775728</v>
      </c>
    </row>
    <row r="47" spans="2:19" ht="15" x14ac:dyDescent="0.3">
      <c r="B47" s="3" t="s">
        <v>140</v>
      </c>
      <c r="D47" s="9">
        <f t="shared" ref="D47:M47" si="13">AVERAGE(D37:D44)</f>
        <v>33186.40625</v>
      </c>
      <c r="E47" s="59">
        <f t="shared" si="13"/>
        <v>1.6870325983682433E-2</v>
      </c>
      <c r="F47" s="60">
        <f t="shared" si="13"/>
        <v>2.8360042754394646E-2</v>
      </c>
      <c r="G47" s="59">
        <f t="shared" si="13"/>
        <v>0.2223475444982255</v>
      </c>
      <c r="H47" s="62">
        <f t="shared" si="13"/>
        <v>0.22535755534276</v>
      </c>
      <c r="I47" s="60">
        <f t="shared" si="13"/>
        <v>0.22825461551266546</v>
      </c>
      <c r="J47" s="66">
        <f t="shared" si="13"/>
        <v>0.19157943847379477</v>
      </c>
      <c r="K47" s="59">
        <f t="shared" si="13"/>
        <v>3.2740500142380322E-2</v>
      </c>
      <c r="L47" s="60">
        <f t="shared" si="13"/>
        <v>6.3433657393364068E-2</v>
      </c>
      <c r="M47" s="69">
        <f t="shared" si="13"/>
        <v>2.4974107910680203</v>
      </c>
    </row>
    <row r="50" spans="1:19" ht="15" x14ac:dyDescent="0.3">
      <c r="B50" s="74" t="s">
        <v>347</v>
      </c>
    </row>
    <row r="51" spans="1:19" ht="15" x14ac:dyDescent="0.3">
      <c r="B51" s="3" t="s">
        <v>141</v>
      </c>
      <c r="F51" s="21">
        <f>SLOPE(J66:J73,D66:D73)</f>
        <v>63.607464111021358</v>
      </c>
      <c r="S51" s="30" t="s">
        <v>142</v>
      </c>
    </row>
    <row r="52" spans="1:19" ht="15" x14ac:dyDescent="0.3">
      <c r="B52" s="3" t="s">
        <v>143</v>
      </c>
      <c r="F52" s="21">
        <f>INTERCEPT(J66:J73,D66:D73)</f>
        <v>-2.1257962969490958</v>
      </c>
    </row>
    <row r="53" spans="1:19" ht="15" x14ac:dyDescent="0.3">
      <c r="B53" s="3" t="s">
        <v>144</v>
      </c>
      <c r="F53" s="21">
        <f>RSQ(J66:J73,D66:D73)</f>
        <v>0.60113131604534631</v>
      </c>
    </row>
    <row r="54" spans="1:19" ht="15" x14ac:dyDescent="0.3">
      <c r="B54" s="75" t="s">
        <v>348</v>
      </c>
      <c r="F54" s="10">
        <f>H45</f>
        <v>0.20160000088950711</v>
      </c>
    </row>
    <row r="55" spans="1:19" ht="15" x14ac:dyDescent="0.3">
      <c r="B55" s="76" t="s">
        <v>349</v>
      </c>
      <c r="F55" s="14">
        <f>F52+F51*F54</f>
        <v>10.697468524412102</v>
      </c>
    </row>
    <row r="56" spans="1:19" ht="15" x14ac:dyDescent="0.3">
      <c r="B56" s="75" t="s">
        <v>350</v>
      </c>
      <c r="F56" s="11">
        <f>J17</f>
        <v>11.715013029889048</v>
      </c>
    </row>
    <row r="58" spans="1:19" x14ac:dyDescent="0.3">
      <c r="A58" t="s">
        <v>328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</row>
    <row r="61" spans="1:19" ht="16.8" x14ac:dyDescent="0.3">
      <c r="A61" t="s">
        <v>328</v>
      </c>
      <c r="B61" s="24" t="s">
        <v>351</v>
      </c>
      <c r="C61" s="7"/>
      <c r="D61" s="7"/>
      <c r="E61" s="7"/>
      <c r="F61" s="7"/>
      <c r="G61" s="7"/>
      <c r="H61" s="24"/>
      <c r="I61" s="7"/>
      <c r="J61" s="7"/>
      <c r="K61" s="7"/>
      <c r="L61" s="7"/>
      <c r="M61" s="7"/>
      <c r="N61" s="7"/>
      <c r="O61" s="7"/>
      <c r="P61" s="7"/>
      <c r="Q61" s="7"/>
    </row>
    <row r="62" spans="1:19" x14ac:dyDescent="0.3">
      <c r="S62"/>
    </row>
    <row r="63" spans="1:19" x14ac:dyDescent="0.3">
      <c r="S63"/>
    </row>
    <row r="64" spans="1:19" x14ac:dyDescent="0.3">
      <c r="F64" s="79" t="s">
        <v>114</v>
      </c>
      <c r="G64" s="80"/>
      <c r="H64" s="81"/>
      <c r="I64" s="79" t="s">
        <v>115</v>
      </c>
      <c r="J64" s="80"/>
      <c r="K64" s="81"/>
      <c r="L64" s="79" t="s">
        <v>116</v>
      </c>
      <c r="M64" s="80"/>
      <c r="N64" s="81"/>
      <c r="O64" s="79" t="s">
        <v>117</v>
      </c>
      <c r="P64" s="80"/>
      <c r="Q64" s="81"/>
      <c r="S64"/>
    </row>
    <row r="65" spans="2:17" x14ac:dyDescent="0.3">
      <c r="B65" s="8" t="s">
        <v>145</v>
      </c>
      <c r="D65" s="78" t="s">
        <v>353</v>
      </c>
      <c r="F65" s="82" t="s">
        <v>118</v>
      </c>
      <c r="G65" s="83" t="s">
        <v>339</v>
      </c>
      <c r="H65" s="84" t="s">
        <v>340</v>
      </c>
      <c r="I65" s="82" t="s">
        <v>118</v>
      </c>
      <c r="J65" s="83" t="s">
        <v>339</v>
      </c>
      <c r="K65" s="84" t="s">
        <v>340</v>
      </c>
      <c r="L65" s="82" t="s">
        <v>118</v>
      </c>
      <c r="M65" s="83" t="s">
        <v>339</v>
      </c>
      <c r="N65" s="84" t="s">
        <v>340</v>
      </c>
      <c r="O65" s="82" t="s">
        <v>118</v>
      </c>
      <c r="P65" s="83" t="s">
        <v>339</v>
      </c>
      <c r="Q65" s="84" t="s">
        <v>340</v>
      </c>
    </row>
    <row r="66" spans="2:17" x14ac:dyDescent="0.3">
      <c r="B66" s="2" t="str">
        <f t="shared" ref="B66:B73" si="14">B8</f>
        <v>Danone</v>
      </c>
      <c r="D66" s="22">
        <f>IF(Peer_Inputs!$Q13=1,H37,"")</f>
        <v>0.17915194346289753</v>
      </c>
      <c r="F66" s="23">
        <f>IF(AND(Peer_Inputs!$Q13=1,ISNUMBER(F8)),F8,"")</f>
        <v>1.7019945355191257</v>
      </c>
      <c r="G66" s="23">
        <f>IF(AND(Peer_Inputs!$Q13=1,ISNUMBER(G8)),G8,"")</f>
        <v>1.6508745583038869</v>
      </c>
      <c r="H66" s="23">
        <f>IF(AND(Peer_Inputs!$Q13=1,ISNUMBER(H8)),H8,"")</f>
        <v>1.5918143100511073</v>
      </c>
      <c r="I66" s="23">
        <f>IF(AND(Peer_Inputs!$Q13=1,ISNUMBER(I8)),I8,"")</f>
        <v>9.6230175077239952</v>
      </c>
      <c r="J66" s="23">
        <f>IF(AND(Peer_Inputs!$Q13=1,ISNUMBER(J8)),J8,"")</f>
        <v>9.2149408284023675</v>
      </c>
      <c r="K66" s="23">
        <f>IF(AND(Peer_Inputs!$Q13=1,ISNUMBER(K8)),K8,"")</f>
        <v>8.7819078947368414</v>
      </c>
      <c r="L66" s="23">
        <f>IF(AND(Peer_Inputs!$Q13=1,ISNUMBER(L8)),L8,"")</f>
        <v>12.60991902834008</v>
      </c>
      <c r="M66" s="23">
        <f>IF(AND(Peer_Inputs!$Q13=1,ISNUMBER(M8)),M8,"")</f>
        <v>11.964084507042253</v>
      </c>
      <c r="N66" s="23">
        <f>IF(AND(Peer_Inputs!$Q13=1,ISNUMBER(N8)),N8,"")</f>
        <v>11.284963768115942</v>
      </c>
      <c r="O66" s="23">
        <f>IF(AND(Peer_Inputs!$Q13=1,ISNUMBER(O8)),O8,"")</f>
        <v>15.144736842105264</v>
      </c>
      <c r="P66" s="23">
        <f>IF(AND(Peer_Inputs!$Q13=1,ISNUMBER(P8)),P8,"")</f>
        <v>14.315920398009951</v>
      </c>
      <c r="Q66" s="23">
        <f>IF(AND(Peer_Inputs!$Q13=1,ISNUMBER(Q8)),Q8,"")</f>
        <v>13.321759259259258</v>
      </c>
    </row>
    <row r="67" spans="2:17" x14ac:dyDescent="0.3">
      <c r="B67" s="2" t="str">
        <f t="shared" si="14"/>
        <v>Unilever</v>
      </c>
      <c r="D67" s="22">
        <f>IF(Peer_Inputs!$Q14=1,H38,"")</f>
        <v>0.23251417769376181</v>
      </c>
      <c r="F67" s="23">
        <f>IF(AND(Peer_Inputs!$Q14=1,ISNUMBER(F9)),F9,"")</f>
        <v>2.9571274131274135</v>
      </c>
      <c r="G67" s="23">
        <f>IF(AND(Peer_Inputs!$Q14=1,ISNUMBER(G9)),G9,"")</f>
        <v>2.8956370510396976</v>
      </c>
      <c r="H67" s="23">
        <f>IF(AND(Peer_Inputs!$Q14=1,ISNUMBER(H9)),H9,"")</f>
        <v>2.8003510054844609</v>
      </c>
      <c r="I67" s="23">
        <f>IF(AND(Peer_Inputs!$Q14=1,ISNUMBER(I9)),I9,"")</f>
        <v>12.81834309623431</v>
      </c>
      <c r="J67" s="23">
        <f>IF(AND(Peer_Inputs!$Q14=1,ISNUMBER(J9)),J9,"")</f>
        <v>12.45359349593496</v>
      </c>
      <c r="K67" s="23">
        <f>IF(AND(Peer_Inputs!$Q14=1,ISNUMBER(K9)),K9,"")</f>
        <v>11.920560311284047</v>
      </c>
      <c r="L67" s="23">
        <f>IF(AND(Peer_Inputs!$Q14=1,ISNUMBER(L9)),L9,"")</f>
        <v>14.658296650717704</v>
      </c>
      <c r="M67" s="23">
        <f>IF(AND(Peer_Inputs!$Q14=1,ISNUMBER(M9)),M9,"")</f>
        <v>14.249227906976746</v>
      </c>
      <c r="N67" s="23">
        <f>IF(AND(Peer_Inputs!$Q14=1,ISNUMBER(N9)),N9,"")</f>
        <v>13.61592888888889</v>
      </c>
      <c r="O67" s="23">
        <f>IF(AND(Peer_Inputs!$Q14=1,ISNUMBER(O9)),O9,"")</f>
        <v>18.457142857142859</v>
      </c>
      <c r="P67" s="23">
        <f>IF(AND(Peer_Inputs!$Q14=1,ISNUMBER(P9)),P9,"")</f>
        <v>17.518644067796608</v>
      </c>
      <c r="Q67" s="23">
        <f>IF(AND(Peer_Inputs!$Q14=1,ISNUMBER(Q9)),Q9,"")</f>
        <v>16.406349206349208</v>
      </c>
    </row>
    <row r="68" spans="2:17" x14ac:dyDescent="0.3">
      <c r="B68" s="2" t="str">
        <f t="shared" si="14"/>
        <v>PepsiCo</v>
      </c>
      <c r="D68" s="22">
        <f>IF(Peer_Inputs!$Q15=1,H39,"")</f>
        <v>0.18483904465212878</v>
      </c>
      <c r="F68" s="23">
        <f>IF(AND(Peer_Inputs!$Q15=1,ISNUMBER(F10)),F10,"")</f>
        <v>2.2851118210862618</v>
      </c>
      <c r="G68" s="23">
        <f>IF(AND(Peer_Inputs!$Q15=1,ISNUMBER(G10)),G10,"")</f>
        <v>2.2281619937694703</v>
      </c>
      <c r="H68" s="23">
        <f>IF(AND(Peer_Inputs!$Q15=1,ISNUMBER(H10)),H10,"")</f>
        <v>2.1565025125628141</v>
      </c>
      <c r="I68" s="23">
        <f>IF(AND(Peer_Inputs!$Q15=1,ISNUMBER(I10)),I10,"")</f>
        <v>12.475116279069768</v>
      </c>
      <c r="J68" s="23">
        <f>IF(AND(Peer_Inputs!$Q15=1,ISNUMBER(J10)),J10,"")</f>
        <v>12.054606741573034</v>
      </c>
      <c r="K68" s="23">
        <f>IF(AND(Peer_Inputs!$Q15=1,ISNUMBER(K10)),K10,"")</f>
        <v>11.536129032258064</v>
      </c>
      <c r="L68" s="23">
        <f>IF(AND(Peer_Inputs!$Q15=1,ISNUMBER(L10)),L10,"")</f>
        <v>15.548695652173913</v>
      </c>
      <c r="M68" s="23">
        <f>IF(AND(Peer_Inputs!$Q15=1,ISNUMBER(M10)),M10,"")</f>
        <v>15.005034965034966</v>
      </c>
      <c r="N68" s="23">
        <f>IF(AND(Peer_Inputs!$Q15=1,ISNUMBER(N10)),N10,"")</f>
        <v>14.3048</v>
      </c>
      <c r="O68" s="23">
        <f>IF(AND(Peer_Inputs!$Q15=1,ISNUMBER(O10)),O10,"")</f>
        <v>15.506172839506172</v>
      </c>
      <c r="P68" s="23">
        <f>IF(AND(Peer_Inputs!$Q15=1,ISNUMBER(P10)),P10,"")</f>
        <v>14.863905325443788</v>
      </c>
      <c r="Q68" s="23">
        <f>IF(AND(Peer_Inputs!$Q15=1,ISNUMBER(Q10)),Q10,"")</f>
        <v>14.033519553072626</v>
      </c>
    </row>
    <row r="69" spans="2:17" x14ac:dyDescent="0.3">
      <c r="B69" s="2" t="str">
        <f t="shared" si="14"/>
        <v>Mondelez</v>
      </c>
      <c r="D69" s="22">
        <f>IF(Peer_Inputs!$Q16=1,H40,"")</f>
        <v>0.18434343434343434</v>
      </c>
      <c r="F69" s="23">
        <f>IF(AND(Peer_Inputs!$Q16=1,ISNUMBER(F11)),F11,"")</f>
        <v>2.3974483116883114</v>
      </c>
      <c r="G69" s="23">
        <f>IF(AND(Peer_Inputs!$Q16=1,ISNUMBER(G11)),G11,"")</f>
        <v>2.3308525252525252</v>
      </c>
      <c r="H69" s="23">
        <f>IF(AND(Peer_Inputs!$Q16=1,ISNUMBER(H11)),H11,"")</f>
        <v>2.2512624390243903</v>
      </c>
      <c r="I69" s="23">
        <f>IF(AND(Peer_Inputs!$Q16=1,ISNUMBER(I11)),I11,"")</f>
        <v>12.909337062937063</v>
      </c>
      <c r="J69" s="23">
        <f>IF(AND(Peer_Inputs!$Q16=1,ISNUMBER(J11)),J11,"")</f>
        <v>12.644076712328767</v>
      </c>
      <c r="K69" s="23">
        <f>IF(AND(Peer_Inputs!$Q16=1,ISNUMBER(K11)),K11,"")</f>
        <v>11.833558974358974</v>
      </c>
      <c r="L69" s="23">
        <f>IF(AND(Peer_Inputs!$Q16=1,ISNUMBER(L11)),L11,"")</f>
        <v>15.512900840336133</v>
      </c>
      <c r="M69" s="23">
        <f>IF(AND(Peer_Inputs!$Q16=1,ISNUMBER(M11)),M11,"")</f>
        <v>15.256489256198346</v>
      </c>
      <c r="N69" s="23">
        <f>IF(AND(Peer_Inputs!$Q16=1,ISNUMBER(N11)),N11,"")</f>
        <v>14.200270769230768</v>
      </c>
      <c r="O69" s="23">
        <f>IF(AND(Peer_Inputs!$Q16=1,ISNUMBER(O11)),O11,"")</f>
        <v>19.579661016949149</v>
      </c>
      <c r="P69" s="23">
        <f>IF(AND(Peer_Inputs!$Q16=1,ISNUMBER(P11)),P11,"")</f>
        <v>18.937704918032786</v>
      </c>
      <c r="Q69" s="23">
        <f>IF(AND(Peer_Inputs!$Q16=1,ISNUMBER(Q11)),Q11,"")</f>
        <v>17.241791044776118</v>
      </c>
    </row>
    <row r="70" spans="2:17" x14ac:dyDescent="0.3">
      <c r="B70" s="2" t="str">
        <f t="shared" si="14"/>
        <v>Coca-Cola</v>
      </c>
      <c r="D70" s="22">
        <f>IF(Peer_Inputs!$Q17=1,H41,"")</f>
        <v>0.33665338645418325</v>
      </c>
      <c r="F70" s="23">
        <f>IF(AND(Peer_Inputs!$Q17=1,ISNUMBER(F12)),F12,"")</f>
        <v>8.0110647181628387</v>
      </c>
      <c r="G70" s="23">
        <f>IF(AND(Peer_Inputs!$Q17=1,ISNUMBER(G12)),G12,"")</f>
        <v>7.64402390438247</v>
      </c>
      <c r="H70" s="23">
        <f>IF(AND(Peer_Inputs!$Q17=1,ISNUMBER(H12)),H12,"")</f>
        <v>7.2676136363636363</v>
      </c>
      <c r="I70" s="23">
        <f>IF(AND(Peer_Inputs!$Q17=1,ISNUMBER(I12)),I12,"")</f>
        <v>23.983125000000001</v>
      </c>
      <c r="J70" s="23">
        <f>IF(AND(Peer_Inputs!$Q17=1,ISNUMBER(J12)),J12,"")</f>
        <v>22.705917159763313</v>
      </c>
      <c r="K70" s="23">
        <f>IF(AND(Peer_Inputs!$Q17=1,ISNUMBER(K12)),K12,"")</f>
        <v>21.437430167597764</v>
      </c>
      <c r="L70" s="23">
        <f>IF(AND(Peer_Inputs!$Q17=1,ISNUMBER(L12)),L12,"")</f>
        <v>25.753691275167785</v>
      </c>
      <c r="M70" s="23">
        <f>IF(AND(Peer_Inputs!$Q17=1,ISNUMBER(M12)),M12,"")</f>
        <v>24.286708860759493</v>
      </c>
      <c r="N70" s="23">
        <f>IF(AND(Peer_Inputs!$Q17=1,ISNUMBER(N12)),N12,"")</f>
        <v>22.909253731343284</v>
      </c>
      <c r="O70" s="23">
        <f>IF(AND(Peer_Inputs!$Q17=1,ISNUMBER(O12)),O12,"")</f>
        <v>28.7</v>
      </c>
      <c r="P70" s="23">
        <f>IF(AND(Peer_Inputs!$Q17=1,ISNUMBER(P12)),P12,"")</f>
        <v>26.739130434782606</v>
      </c>
      <c r="Q70" s="23">
        <f>IF(AND(Peer_Inputs!$Q17=1,ISNUMBER(Q12)),Q12,"")</f>
        <v>24.95652173913043</v>
      </c>
    </row>
    <row r="71" spans="2:17" x14ac:dyDescent="0.3">
      <c r="B71" s="2" t="str">
        <f t="shared" si="14"/>
        <v>Hershey</v>
      </c>
      <c r="D71" s="22">
        <f>IF(Peer_Inputs!$Q18=1,H42,"")</f>
        <v>0.27346938775510204</v>
      </c>
      <c r="F71" s="23">
        <f>IF(AND(Peer_Inputs!$Q18=1,ISNUMBER(F13)),F13,"")</f>
        <v>3.1690386266094421</v>
      </c>
      <c r="G71" s="23">
        <f>IF(AND(Peer_Inputs!$Q18=1,ISNUMBER(G13)),G13,"")</f>
        <v>3.0138204081632654</v>
      </c>
      <c r="H71" s="23">
        <f>IF(AND(Peer_Inputs!$Q18=1,ISNUMBER(H13)),H13,"")</f>
        <v>2.9070314960629924</v>
      </c>
      <c r="I71" s="23">
        <f>IF(AND(Peer_Inputs!$Q18=1,ISNUMBER(I13)),I13,"")</f>
        <v>13.57327205882353</v>
      </c>
      <c r="J71" s="23">
        <f>IF(AND(Peer_Inputs!$Q18=1,ISNUMBER(J13)),J13,"")</f>
        <v>11.02068656716418</v>
      </c>
      <c r="K71" s="23">
        <f>IF(AND(Peer_Inputs!$Q18=1,ISNUMBER(K13)),K13,"")</f>
        <v>10.312653631284917</v>
      </c>
      <c r="L71" s="23">
        <f>IF(AND(Peer_Inputs!$Q18=1,ISNUMBER(L13)),L13,"")</f>
        <v>16.408577777777779</v>
      </c>
      <c r="M71" s="23">
        <f>IF(AND(Peer_Inputs!$Q18=1,ISNUMBER(M13)),M13,"")</f>
        <v>12.908846153846154</v>
      </c>
      <c r="N71" s="23">
        <f>IF(AND(Peer_Inputs!$Q18=1,ISNUMBER(N13)),N13,"")</f>
        <v>12.02583061889251</v>
      </c>
      <c r="O71" s="23">
        <f>IF(AND(Peer_Inputs!$Q18=1,ISNUMBER(O13)),O13,"")</f>
        <v>26.11475409836066</v>
      </c>
      <c r="P71" s="23">
        <f>IF(AND(Peer_Inputs!$Q18=1,ISNUMBER(P13)),P13,"")</f>
        <v>19.666666666666668</v>
      </c>
      <c r="Q71" s="23">
        <f>IF(AND(Peer_Inputs!$Q18=1,ISNUMBER(Q13)),Q13,"")</f>
        <v>17.898876404494384</v>
      </c>
    </row>
    <row r="72" spans="2:17" x14ac:dyDescent="0.3">
      <c r="B72" s="2" t="str">
        <f t="shared" si="14"/>
        <v>General Mills</v>
      </c>
      <c r="D72" s="22">
        <f>IF(Peer_Inputs!$Q19=1,H43,"")</f>
        <v>0.19035697728326381</v>
      </c>
      <c r="F72" s="23">
        <f>IF(AND(Peer_Inputs!$Q19=1,ISNUMBER(F14)),F14,"")</f>
        <v>1.6541033922088333</v>
      </c>
      <c r="G72" s="23">
        <f>IF(AND(Peer_Inputs!$Q19=1,ISNUMBER(G14)),G14,"")</f>
        <v>1.7214714881780251</v>
      </c>
      <c r="H72" s="23">
        <f>IF(AND(Peer_Inputs!$Q19=1,ISNUMBER(H14)),H14,"")</f>
        <v>1.7166962552011096</v>
      </c>
      <c r="I72" s="23">
        <f>IF(AND(Peer_Inputs!$Q19=1,ISNUMBER(I14)),I14,"")</f>
        <v>8.342426421028982</v>
      </c>
      <c r="J72" s="23">
        <f>IF(AND(Peer_Inputs!$Q19=1,ISNUMBER(J14)),J14,"")</f>
        <v>9.043385289819776</v>
      </c>
      <c r="K72" s="23">
        <f>IF(AND(Peer_Inputs!$Q19=1,ISNUMBER(K14)),K14,"")</f>
        <v>8.969115942028985</v>
      </c>
      <c r="L72" s="23">
        <f>IF(AND(Peer_Inputs!$Q19=1,ISNUMBER(L14)),L14,"")</f>
        <v>9.7948140332366123</v>
      </c>
      <c r="M72" s="23">
        <f>IF(AND(Peer_Inputs!$Q19=1,ISNUMBER(M14)),M14,"")</f>
        <v>10.775432385374346</v>
      </c>
      <c r="N72" s="23">
        <f>IF(AND(Peer_Inputs!$Q19=1,ISNUMBER(N14)),N14,"")</f>
        <v>10.691661387849122</v>
      </c>
      <c r="O72" s="23">
        <f>IF(AND(Peer_Inputs!$Q19=1,ISNUMBER(O14)),O14,"")</f>
        <v>8.4735785953177274</v>
      </c>
      <c r="P72" s="23">
        <f>IF(AND(Peer_Inputs!$Q19=1,ISNUMBER(P14)),P14,"")</f>
        <v>9.8737334372564316</v>
      </c>
      <c r="Q72" s="23">
        <f>IF(AND(Peer_Inputs!$Q19=1,ISNUMBER(Q14)),Q14,"")</f>
        <v>9.7421174057933868</v>
      </c>
    </row>
    <row r="73" spans="2:17" x14ac:dyDescent="0.3">
      <c r="B73" s="2" t="str">
        <f t="shared" si="14"/>
        <v>Kraft Heinz</v>
      </c>
      <c r="D73" s="22">
        <f>IF(Peer_Inputs!$Q20=1,H44,"")</f>
        <v>0.22153209109730848</v>
      </c>
      <c r="F73" s="23">
        <f>IF(AND(Peer_Inputs!$Q20=1,ISNUMBER(F15)),F15,"")</f>
        <v>1.8300517199903776</v>
      </c>
      <c r="G73" s="23">
        <f>IF(AND(Peer_Inputs!$Q20=1,ISNUMBER(G15)),G15,"")</f>
        <v>1.8900683229813666</v>
      </c>
      <c r="H73" s="23">
        <f>IF(AND(Peer_Inputs!$Q20=1,ISNUMBER(H15)),H15,"")</f>
        <v>1.8979272349272349</v>
      </c>
      <c r="I73" s="23">
        <f>IF(AND(Peer_Inputs!$Q20=1,ISNUMBER(I15)),I15,"")</f>
        <v>7.7364661016949157</v>
      </c>
      <c r="J73" s="23">
        <f>IF(AND(Peer_Inputs!$Q20=1,ISNUMBER(J15)),J15,"")</f>
        <v>8.5318037383177572</v>
      </c>
      <c r="K73" s="23">
        <f>IF(AND(Peer_Inputs!$Q20=1,ISNUMBER(K15)),K15,"")</f>
        <v>8.6122924528301894</v>
      </c>
      <c r="L73" s="23">
        <f>IF(AND(Peer_Inputs!$Q20=1,ISNUMBER(L15)),L15,"")</f>
        <v>9.2212424242424245</v>
      </c>
      <c r="M73" s="23">
        <f>IF(AND(Peer_Inputs!$Q20=1,ISNUMBER(M15)),M15,"")</f>
        <v>10.373897727272727</v>
      </c>
      <c r="N73" s="23">
        <f>IF(AND(Peer_Inputs!$Q20=1,ISNUMBER(N15)),N15,"")</f>
        <v>10.493137931034482</v>
      </c>
      <c r="O73" s="23">
        <f>IF(AND(Peer_Inputs!$Q20=1,ISNUMBER(O15)),O15,"")</f>
        <v>8.6007751937984498</v>
      </c>
      <c r="P73" s="23">
        <f>IF(AND(Peer_Inputs!$Q20=1,ISNUMBER(P15)),P15,"")</f>
        <v>10.566666666666666</v>
      </c>
      <c r="Q73" s="23">
        <f>IF(AND(Peer_Inputs!$Q20=1,ISNUMBER(Q15)),Q15,"")</f>
        <v>10.32093023255814</v>
      </c>
    </row>
    <row r="76" spans="2:17" x14ac:dyDescent="0.3">
      <c r="B76" s="8" t="s">
        <v>146</v>
      </c>
    </row>
    <row r="77" spans="2:17" x14ac:dyDescent="0.3">
      <c r="B77" s="2" t="str">
        <f t="shared" ref="B77:B84" si="15">B8</f>
        <v>Danone</v>
      </c>
      <c r="F77" s="23">
        <f>IF(AND(AND(Peer_Inputs!$Q13=1,Peer_Inputs!$D13=1),ISNUMBER(F8)),F8,"")</f>
        <v>1.7019945355191257</v>
      </c>
      <c r="G77" s="23">
        <f>IF(AND(AND(Peer_Inputs!$Q13=1,Peer_Inputs!$D13=1),ISNUMBER(G8)),G8,"")</f>
        <v>1.6508745583038869</v>
      </c>
      <c r="H77" s="23">
        <f>IF(AND(AND(Peer_Inputs!$Q13=1,Peer_Inputs!$D13=1),ISNUMBER(H8)),H8,"")</f>
        <v>1.5918143100511073</v>
      </c>
      <c r="I77" s="23">
        <f>IF(AND(AND(Peer_Inputs!$Q13=1,Peer_Inputs!$D13=1),ISNUMBER(I8)),I8,"")</f>
        <v>9.6230175077239952</v>
      </c>
      <c r="J77" s="23">
        <f>IF(AND(AND(Peer_Inputs!$Q13=1,Peer_Inputs!$D13=1),ISNUMBER(J8)),J8,"")</f>
        <v>9.2149408284023675</v>
      </c>
      <c r="K77" s="23">
        <f>IF(AND(AND(Peer_Inputs!$Q13=1,Peer_Inputs!$D13=1),ISNUMBER(K8)),K8,"")</f>
        <v>8.7819078947368414</v>
      </c>
      <c r="L77" s="23">
        <f>IF(AND(AND(Peer_Inputs!$Q13=1,Peer_Inputs!$D13=1),ISNUMBER(L8)),L8,"")</f>
        <v>12.60991902834008</v>
      </c>
      <c r="M77" s="23">
        <f>IF(AND(AND(Peer_Inputs!$Q13=1,Peer_Inputs!$D13=1),ISNUMBER(M8)),M8,"")</f>
        <v>11.964084507042253</v>
      </c>
      <c r="N77" s="23">
        <f>IF(AND(AND(Peer_Inputs!$Q13=1,Peer_Inputs!$D13=1),ISNUMBER(N8)),N8,"")</f>
        <v>11.284963768115942</v>
      </c>
      <c r="O77" s="23">
        <f>IF(AND(AND(Peer_Inputs!$Q13=1,Peer_Inputs!$D13=1),ISNUMBER(O8)),O8,"")</f>
        <v>15.144736842105264</v>
      </c>
      <c r="P77" s="23">
        <f>IF(AND(AND(Peer_Inputs!$Q13=1,Peer_Inputs!$D13=1),ISNUMBER(P8)),P8,"")</f>
        <v>14.315920398009951</v>
      </c>
      <c r="Q77" s="23">
        <f>IF(AND(AND(Peer_Inputs!$Q13=1,Peer_Inputs!$D13=1),ISNUMBER(Q8)),Q8,"")</f>
        <v>13.321759259259258</v>
      </c>
    </row>
    <row r="78" spans="2:17" x14ac:dyDescent="0.3">
      <c r="B78" s="2" t="str">
        <f t="shared" si="15"/>
        <v>Unilever</v>
      </c>
      <c r="F78" s="23">
        <f>IF(AND(AND(Peer_Inputs!$Q14=1,Peer_Inputs!$D14=1),ISNUMBER(F9)),F9,"")</f>
        <v>2.9571274131274135</v>
      </c>
      <c r="G78" s="23">
        <f>IF(AND(AND(Peer_Inputs!$Q14=1,Peer_Inputs!$D14=1),ISNUMBER(G9)),G9,"")</f>
        <v>2.8956370510396976</v>
      </c>
      <c r="H78" s="23">
        <f>IF(AND(AND(Peer_Inputs!$Q14=1,Peer_Inputs!$D14=1),ISNUMBER(H9)),H9,"")</f>
        <v>2.8003510054844609</v>
      </c>
      <c r="I78" s="23">
        <f>IF(AND(AND(Peer_Inputs!$Q14=1,Peer_Inputs!$D14=1),ISNUMBER(I9)),I9,"")</f>
        <v>12.81834309623431</v>
      </c>
      <c r="J78" s="23">
        <f>IF(AND(AND(Peer_Inputs!$Q14=1,Peer_Inputs!$D14=1),ISNUMBER(J9)),J9,"")</f>
        <v>12.45359349593496</v>
      </c>
      <c r="K78" s="23">
        <f>IF(AND(AND(Peer_Inputs!$Q14=1,Peer_Inputs!$D14=1),ISNUMBER(K9)),K9,"")</f>
        <v>11.920560311284047</v>
      </c>
      <c r="L78" s="23">
        <f>IF(AND(AND(Peer_Inputs!$Q14=1,Peer_Inputs!$D14=1),ISNUMBER(L9)),L9,"")</f>
        <v>14.658296650717704</v>
      </c>
      <c r="M78" s="23">
        <f>IF(AND(AND(Peer_Inputs!$Q14=1,Peer_Inputs!$D14=1),ISNUMBER(M9)),M9,"")</f>
        <v>14.249227906976746</v>
      </c>
      <c r="N78" s="23">
        <f>IF(AND(AND(Peer_Inputs!$Q14=1,Peer_Inputs!$D14=1),ISNUMBER(N9)),N9,"")</f>
        <v>13.61592888888889</v>
      </c>
      <c r="O78" s="23">
        <f>IF(AND(AND(Peer_Inputs!$Q14=1,Peer_Inputs!$D14=1),ISNUMBER(O9)),O9,"")</f>
        <v>18.457142857142859</v>
      </c>
      <c r="P78" s="23">
        <f>IF(AND(AND(Peer_Inputs!$Q14=1,Peer_Inputs!$D14=1),ISNUMBER(P9)),P9,"")</f>
        <v>17.518644067796608</v>
      </c>
      <c r="Q78" s="23">
        <f>IF(AND(AND(Peer_Inputs!$Q14=1,Peer_Inputs!$D14=1),ISNUMBER(Q9)),Q9,"")</f>
        <v>16.406349206349208</v>
      </c>
    </row>
    <row r="79" spans="2:17" x14ac:dyDescent="0.3">
      <c r="B79" s="2" t="str">
        <f t="shared" si="15"/>
        <v>PepsiCo</v>
      </c>
      <c r="F79" s="23">
        <f>IF(AND(AND(Peer_Inputs!$Q15=1,Peer_Inputs!$D15=1),ISNUMBER(F10)),F10,"")</f>
        <v>2.2851118210862618</v>
      </c>
      <c r="G79" s="23">
        <f>IF(AND(AND(Peer_Inputs!$Q15=1,Peer_Inputs!$D15=1),ISNUMBER(G10)),G10,"")</f>
        <v>2.2281619937694703</v>
      </c>
      <c r="H79" s="23">
        <f>IF(AND(AND(Peer_Inputs!$Q15=1,Peer_Inputs!$D15=1),ISNUMBER(H10)),H10,"")</f>
        <v>2.1565025125628141</v>
      </c>
      <c r="I79" s="23">
        <f>IF(AND(AND(Peer_Inputs!$Q15=1,Peer_Inputs!$D15=1),ISNUMBER(I10)),I10,"")</f>
        <v>12.475116279069768</v>
      </c>
      <c r="J79" s="23">
        <f>IF(AND(AND(Peer_Inputs!$Q15=1,Peer_Inputs!$D15=1),ISNUMBER(J10)),J10,"")</f>
        <v>12.054606741573034</v>
      </c>
      <c r="K79" s="23">
        <f>IF(AND(AND(Peer_Inputs!$Q15=1,Peer_Inputs!$D15=1),ISNUMBER(K10)),K10,"")</f>
        <v>11.536129032258064</v>
      </c>
      <c r="L79" s="23">
        <f>IF(AND(AND(Peer_Inputs!$Q15=1,Peer_Inputs!$D15=1),ISNUMBER(L10)),L10,"")</f>
        <v>15.548695652173913</v>
      </c>
      <c r="M79" s="23">
        <f>IF(AND(AND(Peer_Inputs!$Q15=1,Peer_Inputs!$D15=1),ISNUMBER(M10)),M10,"")</f>
        <v>15.005034965034966</v>
      </c>
      <c r="N79" s="23">
        <f>IF(AND(AND(Peer_Inputs!$Q15=1,Peer_Inputs!$D15=1),ISNUMBER(N10)),N10,"")</f>
        <v>14.3048</v>
      </c>
      <c r="O79" s="23">
        <f>IF(AND(AND(Peer_Inputs!$Q15=1,Peer_Inputs!$D15=1),ISNUMBER(O10)),O10,"")</f>
        <v>15.506172839506172</v>
      </c>
      <c r="P79" s="23">
        <f>IF(AND(AND(Peer_Inputs!$Q15=1,Peer_Inputs!$D15=1),ISNUMBER(P10)),P10,"")</f>
        <v>14.863905325443788</v>
      </c>
      <c r="Q79" s="23">
        <f>IF(AND(AND(Peer_Inputs!$Q15=1,Peer_Inputs!$D15=1),ISNUMBER(Q10)),Q10,"")</f>
        <v>14.033519553072626</v>
      </c>
    </row>
    <row r="80" spans="2:17" x14ac:dyDescent="0.3">
      <c r="B80" s="2" t="str">
        <f t="shared" si="15"/>
        <v>Mondelez</v>
      </c>
      <c r="F80" s="23">
        <f>IF(AND(AND(Peer_Inputs!$Q16=1,Peer_Inputs!$D16=1),ISNUMBER(F11)),F11,"")</f>
        <v>2.3974483116883114</v>
      </c>
      <c r="G80" s="23">
        <f>IF(AND(AND(Peer_Inputs!$Q16=1,Peer_Inputs!$D16=1),ISNUMBER(G11)),G11,"")</f>
        <v>2.3308525252525252</v>
      </c>
      <c r="H80" s="23">
        <f>IF(AND(AND(Peer_Inputs!$Q16=1,Peer_Inputs!$D16=1),ISNUMBER(H11)),H11,"")</f>
        <v>2.2512624390243903</v>
      </c>
      <c r="I80" s="23">
        <f>IF(AND(AND(Peer_Inputs!$Q16=1,Peer_Inputs!$D16=1),ISNUMBER(I11)),I11,"")</f>
        <v>12.909337062937063</v>
      </c>
      <c r="J80" s="23">
        <f>IF(AND(AND(Peer_Inputs!$Q16=1,Peer_Inputs!$D16=1),ISNUMBER(J11)),J11,"")</f>
        <v>12.644076712328767</v>
      </c>
      <c r="K80" s="23">
        <f>IF(AND(AND(Peer_Inputs!$Q16=1,Peer_Inputs!$D16=1),ISNUMBER(K11)),K11,"")</f>
        <v>11.833558974358974</v>
      </c>
      <c r="L80" s="23">
        <f>IF(AND(AND(Peer_Inputs!$Q16=1,Peer_Inputs!$D16=1),ISNUMBER(L11)),L11,"")</f>
        <v>15.512900840336133</v>
      </c>
      <c r="M80" s="23">
        <f>IF(AND(AND(Peer_Inputs!$Q16=1,Peer_Inputs!$D16=1),ISNUMBER(M11)),M11,"")</f>
        <v>15.256489256198346</v>
      </c>
      <c r="N80" s="23">
        <f>IF(AND(AND(Peer_Inputs!$Q16=1,Peer_Inputs!$D16=1),ISNUMBER(N11)),N11,"")</f>
        <v>14.200270769230768</v>
      </c>
      <c r="O80" s="23">
        <f>IF(AND(AND(Peer_Inputs!$Q16=1,Peer_Inputs!$D16=1),ISNUMBER(O11)),O11,"")</f>
        <v>19.579661016949149</v>
      </c>
      <c r="P80" s="23">
        <f>IF(AND(AND(Peer_Inputs!$Q16=1,Peer_Inputs!$D16=1),ISNUMBER(P11)),P11,"")</f>
        <v>18.937704918032786</v>
      </c>
      <c r="Q80" s="23">
        <f>IF(AND(AND(Peer_Inputs!$Q16=1,Peer_Inputs!$D16=1),ISNUMBER(Q11)),Q11,"")</f>
        <v>17.241791044776118</v>
      </c>
    </row>
    <row r="81" spans="2:17" x14ac:dyDescent="0.3">
      <c r="B81" s="2" t="str">
        <f t="shared" si="15"/>
        <v>Coca-Cola</v>
      </c>
      <c r="F81" s="23" t="str">
        <f>IF(AND(AND(Peer_Inputs!$Q17=1,Peer_Inputs!$D17=1),ISNUMBER(F12)),F12,"")</f>
        <v/>
      </c>
      <c r="G81" s="23" t="str">
        <f>IF(AND(AND(Peer_Inputs!$Q17=1,Peer_Inputs!$D17=1),ISNUMBER(G12)),G12,"")</f>
        <v/>
      </c>
      <c r="H81" s="23" t="str">
        <f>IF(AND(AND(Peer_Inputs!$Q17=1,Peer_Inputs!$D17=1),ISNUMBER(H12)),H12,"")</f>
        <v/>
      </c>
      <c r="I81" s="23" t="str">
        <f>IF(AND(AND(Peer_Inputs!$Q17=1,Peer_Inputs!$D17=1),ISNUMBER(I12)),I12,"")</f>
        <v/>
      </c>
      <c r="J81" s="23" t="str">
        <f>IF(AND(AND(Peer_Inputs!$Q17=1,Peer_Inputs!$D17=1),ISNUMBER(J12)),J12,"")</f>
        <v/>
      </c>
      <c r="K81" s="23" t="str">
        <f>IF(AND(AND(Peer_Inputs!$Q17=1,Peer_Inputs!$D17=1),ISNUMBER(K12)),K12,"")</f>
        <v/>
      </c>
      <c r="L81" s="23" t="str">
        <f>IF(AND(AND(Peer_Inputs!$Q17=1,Peer_Inputs!$D17=1),ISNUMBER(L12)),L12,"")</f>
        <v/>
      </c>
      <c r="M81" s="23" t="str">
        <f>IF(AND(AND(Peer_Inputs!$Q17=1,Peer_Inputs!$D17=1),ISNUMBER(M12)),M12,"")</f>
        <v/>
      </c>
      <c r="N81" s="23" t="str">
        <f>IF(AND(AND(Peer_Inputs!$Q17=1,Peer_Inputs!$D17=1),ISNUMBER(N12)),N12,"")</f>
        <v/>
      </c>
      <c r="O81" s="23" t="str">
        <f>IF(AND(AND(Peer_Inputs!$Q17=1,Peer_Inputs!$D17=1),ISNUMBER(O12)),O12,"")</f>
        <v/>
      </c>
      <c r="P81" s="23" t="str">
        <f>IF(AND(AND(Peer_Inputs!$Q17=1,Peer_Inputs!$D17=1),ISNUMBER(P12)),P12,"")</f>
        <v/>
      </c>
      <c r="Q81" s="23" t="str">
        <f>IF(AND(AND(Peer_Inputs!$Q17=1,Peer_Inputs!$D17=1),ISNUMBER(Q12)),Q12,"")</f>
        <v/>
      </c>
    </row>
    <row r="82" spans="2:17" x14ac:dyDescent="0.3">
      <c r="B82" s="2" t="str">
        <f t="shared" si="15"/>
        <v>Hershey</v>
      </c>
      <c r="F82" s="23" t="str">
        <f>IF(AND(AND(Peer_Inputs!$Q18=1,Peer_Inputs!$D18=1),ISNUMBER(F13)),F13,"")</f>
        <v/>
      </c>
      <c r="G82" s="23" t="str">
        <f>IF(AND(AND(Peer_Inputs!$Q18=1,Peer_Inputs!$D18=1),ISNUMBER(G13)),G13,"")</f>
        <v/>
      </c>
      <c r="H82" s="23" t="str">
        <f>IF(AND(AND(Peer_Inputs!$Q18=1,Peer_Inputs!$D18=1),ISNUMBER(H13)),H13,"")</f>
        <v/>
      </c>
      <c r="I82" s="23" t="str">
        <f>IF(AND(AND(Peer_Inputs!$Q18=1,Peer_Inputs!$D18=1),ISNUMBER(I13)),I13,"")</f>
        <v/>
      </c>
      <c r="J82" s="23" t="str">
        <f>IF(AND(AND(Peer_Inputs!$Q18=1,Peer_Inputs!$D18=1),ISNUMBER(J13)),J13,"")</f>
        <v/>
      </c>
      <c r="K82" s="23" t="str">
        <f>IF(AND(AND(Peer_Inputs!$Q18=1,Peer_Inputs!$D18=1),ISNUMBER(K13)),K13,"")</f>
        <v/>
      </c>
      <c r="L82" s="23" t="str">
        <f>IF(AND(AND(Peer_Inputs!$Q18=1,Peer_Inputs!$D18=1),ISNUMBER(L13)),L13,"")</f>
        <v/>
      </c>
      <c r="M82" s="23" t="str">
        <f>IF(AND(AND(Peer_Inputs!$Q18=1,Peer_Inputs!$D18=1),ISNUMBER(M13)),M13,"")</f>
        <v/>
      </c>
      <c r="N82" s="23" t="str">
        <f>IF(AND(AND(Peer_Inputs!$Q18=1,Peer_Inputs!$D18=1),ISNUMBER(N13)),N13,"")</f>
        <v/>
      </c>
      <c r="O82" s="23" t="str">
        <f>IF(AND(AND(Peer_Inputs!$Q18=1,Peer_Inputs!$D18=1),ISNUMBER(O13)),O13,"")</f>
        <v/>
      </c>
      <c r="P82" s="23" t="str">
        <f>IF(AND(AND(Peer_Inputs!$Q18=1,Peer_Inputs!$D18=1),ISNUMBER(P13)),P13,"")</f>
        <v/>
      </c>
      <c r="Q82" s="23" t="str">
        <f>IF(AND(AND(Peer_Inputs!$Q18=1,Peer_Inputs!$D18=1),ISNUMBER(Q13)),Q13,"")</f>
        <v/>
      </c>
    </row>
    <row r="83" spans="2:17" x14ac:dyDescent="0.3">
      <c r="B83" s="2" t="str">
        <f t="shared" si="15"/>
        <v>General Mills</v>
      </c>
      <c r="F83" s="23" t="str">
        <f>IF(AND(AND(Peer_Inputs!$Q19=1,Peer_Inputs!$D19=1),ISNUMBER(F14)),F14,"")</f>
        <v/>
      </c>
      <c r="G83" s="23" t="str">
        <f>IF(AND(AND(Peer_Inputs!$Q19=1,Peer_Inputs!$D19=1),ISNUMBER(G14)),G14,"")</f>
        <v/>
      </c>
      <c r="H83" s="23" t="str">
        <f>IF(AND(AND(Peer_Inputs!$Q19=1,Peer_Inputs!$D19=1),ISNUMBER(H14)),H14,"")</f>
        <v/>
      </c>
      <c r="I83" s="23" t="str">
        <f>IF(AND(AND(Peer_Inputs!$Q19=1,Peer_Inputs!$D19=1),ISNUMBER(I14)),I14,"")</f>
        <v/>
      </c>
      <c r="J83" s="23" t="str">
        <f>IF(AND(AND(Peer_Inputs!$Q19=1,Peer_Inputs!$D19=1),ISNUMBER(J14)),J14,"")</f>
        <v/>
      </c>
      <c r="K83" s="23" t="str">
        <f>IF(AND(AND(Peer_Inputs!$Q19=1,Peer_Inputs!$D19=1),ISNUMBER(K14)),K14,"")</f>
        <v/>
      </c>
      <c r="L83" s="23" t="str">
        <f>IF(AND(AND(Peer_Inputs!$Q19=1,Peer_Inputs!$D19=1),ISNUMBER(L14)),L14,"")</f>
        <v/>
      </c>
      <c r="M83" s="23" t="str">
        <f>IF(AND(AND(Peer_Inputs!$Q19=1,Peer_Inputs!$D19=1),ISNUMBER(M14)),M14,"")</f>
        <v/>
      </c>
      <c r="N83" s="23" t="str">
        <f>IF(AND(AND(Peer_Inputs!$Q19=1,Peer_Inputs!$D19=1),ISNUMBER(N14)),N14,"")</f>
        <v/>
      </c>
      <c r="O83" s="23" t="str">
        <f>IF(AND(AND(Peer_Inputs!$Q19=1,Peer_Inputs!$D19=1),ISNUMBER(O14)),O14,"")</f>
        <v/>
      </c>
      <c r="P83" s="23" t="str">
        <f>IF(AND(AND(Peer_Inputs!$Q19=1,Peer_Inputs!$D19=1),ISNUMBER(P14)),P14,"")</f>
        <v/>
      </c>
      <c r="Q83" s="23" t="str">
        <f>IF(AND(AND(Peer_Inputs!$Q19=1,Peer_Inputs!$D19=1),ISNUMBER(Q14)),Q14,"")</f>
        <v/>
      </c>
    </row>
    <row r="84" spans="2:17" x14ac:dyDescent="0.3">
      <c r="B84" s="2" t="str">
        <f t="shared" si="15"/>
        <v>Kraft Heinz</v>
      </c>
      <c r="F84" s="23" t="str">
        <f>IF(AND(AND(Peer_Inputs!$Q20=1,Peer_Inputs!$D20=1),ISNUMBER(F15)),F15,"")</f>
        <v/>
      </c>
      <c r="G84" s="23" t="str">
        <f>IF(AND(AND(Peer_Inputs!$Q20=1,Peer_Inputs!$D20=1),ISNUMBER(G15)),G15,"")</f>
        <v/>
      </c>
      <c r="H84" s="23" t="str">
        <f>IF(AND(AND(Peer_Inputs!$Q20=1,Peer_Inputs!$D20=1),ISNUMBER(H15)),H15,"")</f>
        <v/>
      </c>
      <c r="I84" s="23" t="str">
        <f>IF(AND(AND(Peer_Inputs!$Q20=1,Peer_Inputs!$D20=1),ISNUMBER(I15)),I15,"")</f>
        <v/>
      </c>
      <c r="J84" s="23" t="str">
        <f>IF(AND(AND(Peer_Inputs!$Q20=1,Peer_Inputs!$D20=1),ISNUMBER(J15)),J15,"")</f>
        <v/>
      </c>
      <c r="K84" s="23" t="str">
        <f>IF(AND(AND(Peer_Inputs!$Q20=1,Peer_Inputs!$D20=1),ISNUMBER(K15)),K15,"")</f>
        <v/>
      </c>
      <c r="L84" s="23" t="str">
        <f>IF(AND(AND(Peer_Inputs!$Q20=1,Peer_Inputs!$D20=1),ISNUMBER(L15)),L15,"")</f>
        <v/>
      </c>
      <c r="M84" s="23" t="str">
        <f>IF(AND(AND(Peer_Inputs!$Q20=1,Peer_Inputs!$D20=1),ISNUMBER(M15)),M15,"")</f>
        <v/>
      </c>
      <c r="N84" s="23" t="str">
        <f>IF(AND(AND(Peer_Inputs!$Q20=1,Peer_Inputs!$D20=1),ISNUMBER(N15)),N15,"")</f>
        <v/>
      </c>
      <c r="O84" s="23" t="str">
        <f>IF(AND(AND(Peer_Inputs!$Q20=1,Peer_Inputs!$D20=1),ISNUMBER(O15)),O15,"")</f>
        <v/>
      </c>
      <c r="P84" s="23" t="str">
        <f>IF(AND(AND(Peer_Inputs!$Q20=1,Peer_Inputs!$D20=1),ISNUMBER(P15)),P15,"")</f>
        <v/>
      </c>
      <c r="Q84" s="23" t="str">
        <f>IF(AND(AND(Peer_Inputs!$Q20=1,Peer_Inputs!$D20=1),ISNUMBER(Q15)),Q15,"")</f>
        <v/>
      </c>
    </row>
    <row r="87" spans="2:17" x14ac:dyDescent="0.3">
      <c r="B87" s="8" t="s">
        <v>147</v>
      </c>
    </row>
    <row r="88" spans="2:17" x14ac:dyDescent="0.3">
      <c r="B88" s="2" t="str">
        <f t="shared" ref="B88:B95" si="16">B8</f>
        <v>Danone</v>
      </c>
      <c r="F88" s="23" t="str">
        <f>IF(AND(AND(Peer_Inputs!$Q13=1,Peer_Inputs!$D13=2),ISNUMBER(F8)),F8,"")</f>
        <v/>
      </c>
      <c r="G88" s="23" t="str">
        <f>IF(AND(AND(Peer_Inputs!$Q13=1,Peer_Inputs!$D13=2),ISNUMBER(G8)),G8,"")</f>
        <v/>
      </c>
      <c r="H88" s="23" t="str">
        <f>IF(AND(AND(Peer_Inputs!$Q13=1,Peer_Inputs!$D13=2),ISNUMBER(H8)),H8,"")</f>
        <v/>
      </c>
      <c r="I88" s="23" t="str">
        <f>IF(AND(AND(Peer_Inputs!$Q13=1,Peer_Inputs!$D13=2),ISNUMBER(I8)),I8,"")</f>
        <v/>
      </c>
      <c r="J88" s="23" t="str">
        <f>IF(AND(AND(Peer_Inputs!$Q13=1,Peer_Inputs!$D13=2),ISNUMBER(J8)),J8,"")</f>
        <v/>
      </c>
      <c r="K88" s="23" t="str">
        <f>IF(AND(AND(Peer_Inputs!$Q13=1,Peer_Inputs!$D13=2),ISNUMBER(K8)),K8,"")</f>
        <v/>
      </c>
      <c r="L88" s="23" t="str">
        <f>IF(AND(AND(Peer_Inputs!$Q13=1,Peer_Inputs!$D13=2),ISNUMBER(L8)),L8,"")</f>
        <v/>
      </c>
      <c r="M88" s="23" t="str">
        <f>IF(AND(AND(Peer_Inputs!$Q13=1,Peer_Inputs!$D13=2),ISNUMBER(M8)),M8,"")</f>
        <v/>
      </c>
      <c r="N88" s="23" t="str">
        <f>IF(AND(AND(Peer_Inputs!$Q13=1,Peer_Inputs!$D13=2),ISNUMBER(N8)),N8,"")</f>
        <v/>
      </c>
      <c r="O88" s="23" t="str">
        <f>IF(AND(AND(Peer_Inputs!$Q13=1,Peer_Inputs!$D13=2),ISNUMBER(O8)),O8,"")</f>
        <v/>
      </c>
      <c r="P88" s="23" t="str">
        <f>IF(AND(AND(Peer_Inputs!$Q13=1,Peer_Inputs!$D13=2),ISNUMBER(P8)),P8,"")</f>
        <v/>
      </c>
      <c r="Q88" s="23" t="str">
        <f>IF(AND(AND(Peer_Inputs!$Q13=1,Peer_Inputs!$D13=2),ISNUMBER(Q8)),Q8,"")</f>
        <v/>
      </c>
    </row>
    <row r="89" spans="2:17" x14ac:dyDescent="0.3">
      <c r="B89" s="2" t="str">
        <f t="shared" si="16"/>
        <v>Unilever</v>
      </c>
      <c r="F89" s="23" t="str">
        <f>IF(AND(AND(Peer_Inputs!$Q14=1,Peer_Inputs!$D14=2),ISNUMBER(F9)),F9,"")</f>
        <v/>
      </c>
      <c r="G89" s="23" t="str">
        <f>IF(AND(AND(Peer_Inputs!$Q14=1,Peer_Inputs!$D14=2),ISNUMBER(G9)),G9,"")</f>
        <v/>
      </c>
      <c r="H89" s="23" t="str">
        <f>IF(AND(AND(Peer_Inputs!$Q14=1,Peer_Inputs!$D14=2),ISNUMBER(H9)),H9,"")</f>
        <v/>
      </c>
      <c r="I89" s="23" t="str">
        <f>IF(AND(AND(Peer_Inputs!$Q14=1,Peer_Inputs!$D14=2),ISNUMBER(I9)),I9,"")</f>
        <v/>
      </c>
      <c r="J89" s="23" t="str">
        <f>IF(AND(AND(Peer_Inputs!$Q14=1,Peer_Inputs!$D14=2),ISNUMBER(J9)),J9,"")</f>
        <v/>
      </c>
      <c r="K89" s="23" t="str">
        <f>IF(AND(AND(Peer_Inputs!$Q14=1,Peer_Inputs!$D14=2),ISNUMBER(K9)),K9,"")</f>
        <v/>
      </c>
      <c r="L89" s="23" t="str">
        <f>IF(AND(AND(Peer_Inputs!$Q14=1,Peer_Inputs!$D14=2),ISNUMBER(L9)),L9,"")</f>
        <v/>
      </c>
      <c r="M89" s="23" t="str">
        <f>IF(AND(AND(Peer_Inputs!$Q14=1,Peer_Inputs!$D14=2),ISNUMBER(M9)),M9,"")</f>
        <v/>
      </c>
      <c r="N89" s="23" t="str">
        <f>IF(AND(AND(Peer_Inputs!$Q14=1,Peer_Inputs!$D14=2),ISNUMBER(N9)),N9,"")</f>
        <v/>
      </c>
      <c r="O89" s="23" t="str">
        <f>IF(AND(AND(Peer_Inputs!$Q14=1,Peer_Inputs!$D14=2),ISNUMBER(O9)),O9,"")</f>
        <v/>
      </c>
      <c r="P89" s="23" t="str">
        <f>IF(AND(AND(Peer_Inputs!$Q14=1,Peer_Inputs!$D14=2),ISNUMBER(P9)),P9,"")</f>
        <v/>
      </c>
      <c r="Q89" s="23" t="str">
        <f>IF(AND(AND(Peer_Inputs!$Q14=1,Peer_Inputs!$D14=2),ISNUMBER(Q9)),Q9,"")</f>
        <v/>
      </c>
    </row>
    <row r="90" spans="2:17" x14ac:dyDescent="0.3">
      <c r="B90" s="2" t="str">
        <f t="shared" si="16"/>
        <v>PepsiCo</v>
      </c>
      <c r="F90" s="23" t="str">
        <f>IF(AND(AND(Peer_Inputs!$Q15=1,Peer_Inputs!$D15=2),ISNUMBER(F10)),F10,"")</f>
        <v/>
      </c>
      <c r="G90" s="23" t="str">
        <f>IF(AND(AND(Peer_Inputs!$Q15=1,Peer_Inputs!$D15=2),ISNUMBER(G10)),G10,"")</f>
        <v/>
      </c>
      <c r="H90" s="23" t="str">
        <f>IF(AND(AND(Peer_Inputs!$Q15=1,Peer_Inputs!$D15=2),ISNUMBER(H10)),H10,"")</f>
        <v/>
      </c>
      <c r="I90" s="23" t="str">
        <f>IF(AND(AND(Peer_Inputs!$Q15=1,Peer_Inputs!$D15=2),ISNUMBER(I10)),I10,"")</f>
        <v/>
      </c>
      <c r="J90" s="23" t="str">
        <f>IF(AND(AND(Peer_Inputs!$Q15=1,Peer_Inputs!$D15=2),ISNUMBER(J10)),J10,"")</f>
        <v/>
      </c>
      <c r="K90" s="23" t="str">
        <f>IF(AND(AND(Peer_Inputs!$Q15=1,Peer_Inputs!$D15=2),ISNUMBER(K10)),K10,"")</f>
        <v/>
      </c>
      <c r="L90" s="23" t="str">
        <f>IF(AND(AND(Peer_Inputs!$Q15=1,Peer_Inputs!$D15=2),ISNUMBER(L10)),L10,"")</f>
        <v/>
      </c>
      <c r="M90" s="23" t="str">
        <f>IF(AND(AND(Peer_Inputs!$Q15=1,Peer_Inputs!$D15=2),ISNUMBER(M10)),M10,"")</f>
        <v/>
      </c>
      <c r="N90" s="23" t="str">
        <f>IF(AND(AND(Peer_Inputs!$Q15=1,Peer_Inputs!$D15=2),ISNUMBER(N10)),N10,"")</f>
        <v/>
      </c>
      <c r="O90" s="23" t="str">
        <f>IF(AND(AND(Peer_Inputs!$Q15=1,Peer_Inputs!$D15=2),ISNUMBER(O10)),O10,"")</f>
        <v/>
      </c>
      <c r="P90" s="23" t="str">
        <f>IF(AND(AND(Peer_Inputs!$Q15=1,Peer_Inputs!$D15=2),ISNUMBER(P10)),P10,"")</f>
        <v/>
      </c>
      <c r="Q90" s="23" t="str">
        <f>IF(AND(AND(Peer_Inputs!$Q15=1,Peer_Inputs!$D15=2),ISNUMBER(Q10)),Q10,"")</f>
        <v/>
      </c>
    </row>
    <row r="91" spans="2:17" x14ac:dyDescent="0.3">
      <c r="B91" s="2" t="str">
        <f t="shared" si="16"/>
        <v>Mondelez</v>
      </c>
      <c r="F91" s="23" t="str">
        <f>IF(AND(AND(Peer_Inputs!$Q16=1,Peer_Inputs!$D16=2),ISNUMBER(F11)),F11,"")</f>
        <v/>
      </c>
      <c r="G91" s="23" t="str">
        <f>IF(AND(AND(Peer_Inputs!$Q16=1,Peer_Inputs!$D16=2),ISNUMBER(G11)),G11,"")</f>
        <v/>
      </c>
      <c r="H91" s="23" t="str">
        <f>IF(AND(AND(Peer_Inputs!$Q16=1,Peer_Inputs!$D16=2),ISNUMBER(H11)),H11,"")</f>
        <v/>
      </c>
      <c r="I91" s="23" t="str">
        <f>IF(AND(AND(Peer_Inputs!$Q16=1,Peer_Inputs!$D16=2),ISNUMBER(I11)),I11,"")</f>
        <v/>
      </c>
      <c r="J91" s="23" t="str">
        <f>IF(AND(AND(Peer_Inputs!$Q16=1,Peer_Inputs!$D16=2),ISNUMBER(J11)),J11,"")</f>
        <v/>
      </c>
      <c r="K91" s="23" t="str">
        <f>IF(AND(AND(Peer_Inputs!$Q16=1,Peer_Inputs!$D16=2),ISNUMBER(K11)),K11,"")</f>
        <v/>
      </c>
      <c r="L91" s="23" t="str">
        <f>IF(AND(AND(Peer_Inputs!$Q16=1,Peer_Inputs!$D16=2),ISNUMBER(L11)),L11,"")</f>
        <v/>
      </c>
      <c r="M91" s="23" t="str">
        <f>IF(AND(AND(Peer_Inputs!$Q16=1,Peer_Inputs!$D16=2),ISNUMBER(M11)),M11,"")</f>
        <v/>
      </c>
      <c r="N91" s="23" t="str">
        <f>IF(AND(AND(Peer_Inputs!$Q16=1,Peer_Inputs!$D16=2),ISNUMBER(N11)),N11,"")</f>
        <v/>
      </c>
      <c r="O91" s="23" t="str">
        <f>IF(AND(AND(Peer_Inputs!$Q16=1,Peer_Inputs!$D16=2),ISNUMBER(O11)),O11,"")</f>
        <v/>
      </c>
      <c r="P91" s="23" t="str">
        <f>IF(AND(AND(Peer_Inputs!$Q16=1,Peer_Inputs!$D16=2),ISNUMBER(P11)),P11,"")</f>
        <v/>
      </c>
      <c r="Q91" s="23" t="str">
        <f>IF(AND(AND(Peer_Inputs!$Q16=1,Peer_Inputs!$D16=2),ISNUMBER(Q11)),Q11,"")</f>
        <v/>
      </c>
    </row>
    <row r="92" spans="2:17" x14ac:dyDescent="0.3">
      <c r="B92" s="2" t="str">
        <f t="shared" si="16"/>
        <v>Coca-Cola</v>
      </c>
      <c r="F92" s="23">
        <f>IF(AND(AND(Peer_Inputs!$Q17=1,Peer_Inputs!$D17=2),ISNUMBER(F12)),F12,"")</f>
        <v>8.0110647181628387</v>
      </c>
      <c r="G92" s="23">
        <f>IF(AND(AND(Peer_Inputs!$Q17=1,Peer_Inputs!$D17=2),ISNUMBER(G12)),G12,"")</f>
        <v>7.64402390438247</v>
      </c>
      <c r="H92" s="23">
        <f>IF(AND(AND(Peer_Inputs!$Q17=1,Peer_Inputs!$D17=2),ISNUMBER(H12)),H12,"")</f>
        <v>7.2676136363636363</v>
      </c>
      <c r="I92" s="23">
        <f>IF(AND(AND(Peer_Inputs!$Q17=1,Peer_Inputs!$D17=2),ISNUMBER(I12)),I12,"")</f>
        <v>23.983125000000001</v>
      </c>
      <c r="J92" s="23">
        <f>IF(AND(AND(Peer_Inputs!$Q17=1,Peer_Inputs!$D17=2),ISNUMBER(J12)),J12,"")</f>
        <v>22.705917159763313</v>
      </c>
      <c r="K92" s="23">
        <f>IF(AND(AND(Peer_Inputs!$Q17=1,Peer_Inputs!$D17=2),ISNUMBER(K12)),K12,"")</f>
        <v>21.437430167597764</v>
      </c>
      <c r="L92" s="23">
        <f>IF(AND(AND(Peer_Inputs!$Q17=1,Peer_Inputs!$D17=2),ISNUMBER(L12)),L12,"")</f>
        <v>25.753691275167785</v>
      </c>
      <c r="M92" s="23">
        <f>IF(AND(AND(Peer_Inputs!$Q17=1,Peer_Inputs!$D17=2),ISNUMBER(M12)),M12,"")</f>
        <v>24.286708860759493</v>
      </c>
      <c r="N92" s="23">
        <f>IF(AND(AND(Peer_Inputs!$Q17=1,Peer_Inputs!$D17=2),ISNUMBER(N12)),N12,"")</f>
        <v>22.909253731343284</v>
      </c>
      <c r="O92" s="23">
        <f>IF(AND(AND(Peer_Inputs!$Q17=1,Peer_Inputs!$D17=2),ISNUMBER(O12)),O12,"")</f>
        <v>28.7</v>
      </c>
      <c r="P92" s="23">
        <f>IF(AND(AND(Peer_Inputs!$Q17=1,Peer_Inputs!$D17=2),ISNUMBER(P12)),P12,"")</f>
        <v>26.739130434782606</v>
      </c>
      <c r="Q92" s="23">
        <f>IF(AND(AND(Peer_Inputs!$Q17=1,Peer_Inputs!$D17=2),ISNUMBER(Q12)),Q12,"")</f>
        <v>24.95652173913043</v>
      </c>
    </row>
    <row r="93" spans="2:17" x14ac:dyDescent="0.3">
      <c r="B93" s="2" t="str">
        <f t="shared" si="16"/>
        <v>Hershey</v>
      </c>
      <c r="F93" s="23">
        <f>IF(AND(AND(Peer_Inputs!$Q18=1,Peer_Inputs!$D18=2),ISNUMBER(F13)),F13,"")</f>
        <v>3.1690386266094421</v>
      </c>
      <c r="G93" s="23">
        <f>IF(AND(AND(Peer_Inputs!$Q18=1,Peer_Inputs!$D18=2),ISNUMBER(G13)),G13,"")</f>
        <v>3.0138204081632654</v>
      </c>
      <c r="H93" s="23">
        <f>IF(AND(AND(Peer_Inputs!$Q18=1,Peer_Inputs!$D18=2),ISNUMBER(H13)),H13,"")</f>
        <v>2.9070314960629924</v>
      </c>
      <c r="I93" s="23">
        <f>IF(AND(AND(Peer_Inputs!$Q18=1,Peer_Inputs!$D18=2),ISNUMBER(I13)),I13,"")</f>
        <v>13.57327205882353</v>
      </c>
      <c r="J93" s="23">
        <f>IF(AND(AND(Peer_Inputs!$Q18=1,Peer_Inputs!$D18=2),ISNUMBER(J13)),J13,"")</f>
        <v>11.02068656716418</v>
      </c>
      <c r="K93" s="23">
        <f>IF(AND(AND(Peer_Inputs!$Q18=1,Peer_Inputs!$D18=2),ISNUMBER(K13)),K13,"")</f>
        <v>10.312653631284917</v>
      </c>
      <c r="L93" s="23">
        <f>IF(AND(AND(Peer_Inputs!$Q18=1,Peer_Inputs!$D18=2),ISNUMBER(L13)),L13,"")</f>
        <v>16.408577777777779</v>
      </c>
      <c r="M93" s="23">
        <f>IF(AND(AND(Peer_Inputs!$Q18=1,Peer_Inputs!$D18=2),ISNUMBER(M13)),M13,"")</f>
        <v>12.908846153846154</v>
      </c>
      <c r="N93" s="23">
        <f>IF(AND(AND(Peer_Inputs!$Q18=1,Peer_Inputs!$D18=2),ISNUMBER(N13)),N13,"")</f>
        <v>12.02583061889251</v>
      </c>
      <c r="O93" s="23">
        <f>IF(AND(AND(Peer_Inputs!$Q18=1,Peer_Inputs!$D18=2),ISNUMBER(O13)),O13,"")</f>
        <v>26.11475409836066</v>
      </c>
      <c r="P93" s="23">
        <f>IF(AND(AND(Peer_Inputs!$Q18=1,Peer_Inputs!$D18=2),ISNUMBER(P13)),P13,"")</f>
        <v>19.666666666666668</v>
      </c>
      <c r="Q93" s="23">
        <f>IF(AND(AND(Peer_Inputs!$Q18=1,Peer_Inputs!$D18=2),ISNUMBER(Q13)),Q13,"")</f>
        <v>17.898876404494384</v>
      </c>
    </row>
    <row r="94" spans="2:17" x14ac:dyDescent="0.3">
      <c r="B94" s="2" t="str">
        <f t="shared" si="16"/>
        <v>General Mills</v>
      </c>
      <c r="F94" s="23">
        <f>IF(AND(AND(Peer_Inputs!$Q19=1,Peer_Inputs!$D19=2),ISNUMBER(F14)),F14,"")</f>
        <v>1.6541033922088333</v>
      </c>
      <c r="G94" s="23">
        <f>IF(AND(AND(Peer_Inputs!$Q19=1,Peer_Inputs!$D19=2),ISNUMBER(G14)),G14,"")</f>
        <v>1.7214714881780251</v>
      </c>
      <c r="H94" s="23">
        <f>IF(AND(AND(Peer_Inputs!$Q19=1,Peer_Inputs!$D19=2),ISNUMBER(H14)),H14,"")</f>
        <v>1.7166962552011096</v>
      </c>
      <c r="I94" s="23">
        <f>IF(AND(AND(Peer_Inputs!$Q19=1,Peer_Inputs!$D19=2),ISNUMBER(I14)),I14,"")</f>
        <v>8.342426421028982</v>
      </c>
      <c r="J94" s="23">
        <f>IF(AND(AND(Peer_Inputs!$Q19=1,Peer_Inputs!$D19=2),ISNUMBER(J14)),J14,"")</f>
        <v>9.043385289819776</v>
      </c>
      <c r="K94" s="23">
        <f>IF(AND(AND(Peer_Inputs!$Q19=1,Peer_Inputs!$D19=2),ISNUMBER(K14)),K14,"")</f>
        <v>8.969115942028985</v>
      </c>
      <c r="L94" s="23">
        <f>IF(AND(AND(Peer_Inputs!$Q19=1,Peer_Inputs!$D19=2),ISNUMBER(L14)),L14,"")</f>
        <v>9.7948140332366123</v>
      </c>
      <c r="M94" s="23">
        <f>IF(AND(AND(Peer_Inputs!$Q19=1,Peer_Inputs!$D19=2),ISNUMBER(M14)),M14,"")</f>
        <v>10.775432385374346</v>
      </c>
      <c r="N94" s="23">
        <f>IF(AND(AND(Peer_Inputs!$Q19=1,Peer_Inputs!$D19=2),ISNUMBER(N14)),N14,"")</f>
        <v>10.691661387849122</v>
      </c>
      <c r="O94" s="23">
        <f>IF(AND(AND(Peer_Inputs!$Q19=1,Peer_Inputs!$D19=2),ISNUMBER(O14)),O14,"")</f>
        <v>8.4735785953177274</v>
      </c>
      <c r="P94" s="23">
        <f>IF(AND(AND(Peer_Inputs!$Q19=1,Peer_Inputs!$D19=2),ISNUMBER(P14)),P14,"")</f>
        <v>9.8737334372564316</v>
      </c>
      <c r="Q94" s="23">
        <f>IF(AND(AND(Peer_Inputs!$Q19=1,Peer_Inputs!$D19=2),ISNUMBER(Q14)),Q14,"")</f>
        <v>9.7421174057933868</v>
      </c>
    </row>
    <row r="95" spans="2:17" x14ac:dyDescent="0.3">
      <c r="B95" s="2" t="str">
        <f t="shared" si="16"/>
        <v>Kraft Heinz</v>
      </c>
      <c r="F95" s="23">
        <f>IF(AND(AND(Peer_Inputs!$Q20=1,Peer_Inputs!$D20=2),ISNUMBER(F15)),F15,"")</f>
        <v>1.8300517199903776</v>
      </c>
      <c r="G95" s="23">
        <f>IF(AND(AND(Peer_Inputs!$Q20=1,Peer_Inputs!$D20=2),ISNUMBER(G15)),G15,"")</f>
        <v>1.8900683229813666</v>
      </c>
      <c r="H95" s="23">
        <f>IF(AND(AND(Peer_Inputs!$Q20=1,Peer_Inputs!$D20=2),ISNUMBER(H15)),H15,"")</f>
        <v>1.8979272349272349</v>
      </c>
      <c r="I95" s="23">
        <f>IF(AND(AND(Peer_Inputs!$Q20=1,Peer_Inputs!$D20=2),ISNUMBER(I15)),I15,"")</f>
        <v>7.7364661016949157</v>
      </c>
      <c r="J95" s="23">
        <f>IF(AND(AND(Peer_Inputs!$Q20=1,Peer_Inputs!$D20=2),ISNUMBER(J15)),J15,"")</f>
        <v>8.5318037383177572</v>
      </c>
      <c r="K95" s="23">
        <f>IF(AND(AND(Peer_Inputs!$Q20=1,Peer_Inputs!$D20=2),ISNUMBER(K15)),K15,"")</f>
        <v>8.6122924528301894</v>
      </c>
      <c r="L95" s="23">
        <f>IF(AND(AND(Peer_Inputs!$Q20=1,Peer_Inputs!$D20=2),ISNUMBER(L15)),L15,"")</f>
        <v>9.2212424242424245</v>
      </c>
      <c r="M95" s="23">
        <f>IF(AND(AND(Peer_Inputs!$Q20=1,Peer_Inputs!$D20=2),ISNUMBER(M15)),M15,"")</f>
        <v>10.373897727272727</v>
      </c>
      <c r="N95" s="23">
        <f>IF(AND(AND(Peer_Inputs!$Q20=1,Peer_Inputs!$D20=2),ISNUMBER(N15)),N15,"")</f>
        <v>10.493137931034482</v>
      </c>
      <c r="O95" s="23">
        <f>IF(AND(AND(Peer_Inputs!$Q20=1,Peer_Inputs!$D20=2),ISNUMBER(O15)),O15,"")</f>
        <v>8.6007751937984498</v>
      </c>
      <c r="P95" s="23">
        <f>IF(AND(AND(Peer_Inputs!$Q20=1,Peer_Inputs!$D20=2),ISNUMBER(P15)),P15,"")</f>
        <v>10.566666666666666</v>
      </c>
      <c r="Q95" s="23">
        <f>IF(AND(AND(Peer_Inputs!$Q20=1,Peer_Inputs!$D20=2),ISNUMBER(Q15)),Q15,"")</f>
        <v>10.32093023255814</v>
      </c>
    </row>
    <row r="97" spans="1:17" x14ac:dyDescent="0.3">
      <c r="A97" t="s">
        <v>328</v>
      </c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</row>
  </sheetData>
  <sheetProtection selectLockedCells="1"/>
  <pageMargins left="0.75" right="0.75" top="1" bottom="1" header="0.511811023622047" footer="0.511811023622047"/>
  <pageSetup paperSize="9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50"/>
  <sheetViews>
    <sheetView showGridLines="0" zoomScaleNormal="100" workbookViewId="0">
      <pane ySplit="1" topLeftCell="A2" activePane="bottomLeft" state="frozen"/>
      <selection pane="bottomLeft" activeCell="S6" sqref="S6"/>
    </sheetView>
  </sheetViews>
  <sheetFormatPr defaultColWidth="8.6640625" defaultRowHeight="14.4" outlineLevelCol="1" x14ac:dyDescent="0.3"/>
  <cols>
    <col min="1" max="1" width="3.44140625" style="107" customWidth="1"/>
    <col min="2" max="2" width="11" style="107" customWidth="1"/>
    <col min="3" max="3" width="30.6640625" style="107" bestFit="1" customWidth="1"/>
    <col min="4" max="4" width="15.6640625" style="107" bestFit="1" customWidth="1"/>
    <col min="5" max="5" width="24.77734375" style="107" bestFit="1" customWidth="1"/>
    <col min="6" max="6" width="10" style="107" customWidth="1"/>
    <col min="7" max="7" width="17.44140625" style="107" customWidth="1"/>
    <col min="8" max="10" width="11" style="107" customWidth="1"/>
    <col min="11" max="13" width="9" style="107" customWidth="1"/>
    <col min="14" max="14" width="10" style="107" customWidth="1"/>
    <col min="15" max="15" width="9" style="107" customWidth="1"/>
    <col min="16" max="16" width="4.21875" style="107" customWidth="1"/>
    <col min="17" max="17" width="15.33203125" style="252" hidden="1" customWidth="1" outlineLevel="1"/>
    <col min="18" max="18" width="8.6640625" style="107" hidden="1" customWidth="1" outlineLevel="1"/>
    <col min="19" max="19" width="8.6640625" style="107" collapsed="1"/>
    <col min="20" max="16384" width="8.6640625" style="107"/>
  </cols>
  <sheetData>
    <row r="1" spans="1:17" s="125" customFormat="1" ht="56.4" customHeight="1" x14ac:dyDescent="0.4">
      <c r="B1" s="126"/>
      <c r="C1" s="127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07"/>
      <c r="Q1" s="128" t="s">
        <v>389</v>
      </c>
    </row>
    <row r="3" spans="1:17" ht="16.8" x14ac:dyDescent="0.3">
      <c r="A3" s="107" t="s">
        <v>328</v>
      </c>
      <c r="B3" s="253" t="s">
        <v>148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</row>
    <row r="5" spans="1:17" x14ac:dyDescent="0.3">
      <c r="B5" s="255" t="s">
        <v>149</v>
      </c>
    </row>
    <row r="7" spans="1:17" ht="26.4" x14ac:dyDescent="0.3">
      <c r="B7" s="263" t="s">
        <v>150</v>
      </c>
      <c r="C7" s="263" t="s">
        <v>151</v>
      </c>
      <c r="D7" s="263" t="s">
        <v>152</v>
      </c>
      <c r="E7" s="263" t="s">
        <v>153</v>
      </c>
      <c r="F7" s="263" t="s">
        <v>154</v>
      </c>
      <c r="G7" s="263" t="s">
        <v>155</v>
      </c>
      <c r="H7" s="263" t="s">
        <v>156</v>
      </c>
      <c r="I7" s="263" t="s">
        <v>157</v>
      </c>
      <c r="J7" s="263" t="s">
        <v>158</v>
      </c>
      <c r="K7" s="263" t="s">
        <v>159</v>
      </c>
      <c r="L7" s="263" t="s">
        <v>160</v>
      </c>
      <c r="M7" s="263" t="s">
        <v>161</v>
      </c>
      <c r="N7" s="263" t="s">
        <v>162</v>
      </c>
      <c r="O7" s="263" t="s">
        <v>163</v>
      </c>
      <c r="Q7" s="281"/>
    </row>
    <row r="8" spans="1:17" ht="15" x14ac:dyDescent="0.3">
      <c r="B8" s="288">
        <v>46112</v>
      </c>
      <c r="C8" s="268" t="s">
        <v>165</v>
      </c>
      <c r="D8" s="268" t="s">
        <v>166</v>
      </c>
      <c r="E8" s="268" t="s">
        <v>167</v>
      </c>
      <c r="F8" s="269" t="s">
        <v>168</v>
      </c>
      <c r="G8" s="268" t="s">
        <v>169</v>
      </c>
      <c r="H8" s="271">
        <v>44800</v>
      </c>
      <c r="I8" s="271">
        <v>12444</v>
      </c>
      <c r="J8" s="271">
        <v>3246</v>
      </c>
      <c r="K8" s="289">
        <f t="shared" ref="K8:K14" si="0">IF(AND(ISNUMBER(I8),I8&gt;0),H8/I8,"n.a.")</f>
        <v>3.6001285760205723</v>
      </c>
      <c r="L8" s="289">
        <f t="shared" ref="L8:L14" si="1">IF(AND(ISNUMBER(J8),J8&gt;0),H8/J8,"n.a.")</f>
        <v>13.801601971657425</v>
      </c>
      <c r="M8" s="290">
        <f t="shared" ref="M8:M14" si="2">IF(AND(ISNUMBER(J8),ISNUMBER(I8)),J8/I8,"n.a.")</f>
        <v>0.26084860173577629</v>
      </c>
      <c r="N8" s="291" t="s">
        <v>170</v>
      </c>
      <c r="O8" s="338">
        <v>1</v>
      </c>
      <c r="Q8" s="260" t="s">
        <v>171</v>
      </c>
    </row>
    <row r="9" spans="1:17" ht="15" x14ac:dyDescent="0.3">
      <c r="B9" s="288">
        <v>45964</v>
      </c>
      <c r="C9" s="268" t="s">
        <v>172</v>
      </c>
      <c r="D9" s="268" t="s">
        <v>173</v>
      </c>
      <c r="E9" s="268" t="s">
        <v>174</v>
      </c>
      <c r="F9" s="269" t="s">
        <v>168</v>
      </c>
      <c r="G9" s="268" t="s">
        <v>175</v>
      </c>
      <c r="H9" s="271">
        <v>48700</v>
      </c>
      <c r="I9" s="271">
        <v>15100</v>
      </c>
      <c r="J9" s="271">
        <v>3406</v>
      </c>
      <c r="K9" s="289">
        <f t="shared" si="0"/>
        <v>3.2251655629139071</v>
      </c>
      <c r="L9" s="289">
        <f t="shared" si="1"/>
        <v>14.298297122724604</v>
      </c>
      <c r="M9" s="290">
        <f t="shared" si="2"/>
        <v>0.22556291390728478</v>
      </c>
      <c r="N9" s="291">
        <v>0.46</v>
      </c>
      <c r="O9" s="339">
        <v>1</v>
      </c>
      <c r="Q9" s="260" t="s">
        <v>176</v>
      </c>
    </row>
    <row r="10" spans="1:17" ht="15" x14ac:dyDescent="0.3">
      <c r="B10" s="288">
        <v>45894</v>
      </c>
      <c r="C10" s="268" t="s">
        <v>177</v>
      </c>
      <c r="D10" s="268" t="s">
        <v>178</v>
      </c>
      <c r="E10" s="268" t="s">
        <v>179</v>
      </c>
      <c r="F10" s="269" t="s">
        <v>168</v>
      </c>
      <c r="G10" s="268" t="s">
        <v>180</v>
      </c>
      <c r="H10" s="271">
        <v>22900</v>
      </c>
      <c r="I10" s="271">
        <v>10300</v>
      </c>
      <c r="J10" s="271">
        <v>1759</v>
      </c>
      <c r="K10" s="289">
        <f t="shared" si="0"/>
        <v>2.2233009708737863</v>
      </c>
      <c r="L10" s="289">
        <f t="shared" si="1"/>
        <v>13.018760659465606</v>
      </c>
      <c r="M10" s="290">
        <f t="shared" si="2"/>
        <v>0.17077669902912621</v>
      </c>
      <c r="N10" s="291">
        <v>0.33</v>
      </c>
      <c r="O10" s="339">
        <v>1</v>
      </c>
      <c r="Q10" s="260" t="s">
        <v>181</v>
      </c>
    </row>
    <row r="11" spans="1:17" ht="15" x14ac:dyDescent="0.3">
      <c r="B11" s="288">
        <v>45848</v>
      </c>
      <c r="C11" s="268" t="s">
        <v>182</v>
      </c>
      <c r="D11" s="268" t="s">
        <v>183</v>
      </c>
      <c r="E11" s="268" t="s">
        <v>184</v>
      </c>
      <c r="F11" s="269" t="s">
        <v>185</v>
      </c>
      <c r="G11" s="268" t="s">
        <v>180</v>
      </c>
      <c r="H11" s="271">
        <v>3100</v>
      </c>
      <c r="I11" s="271">
        <v>2650</v>
      </c>
      <c r="J11" s="271">
        <v>290</v>
      </c>
      <c r="K11" s="289">
        <f t="shared" si="0"/>
        <v>1.1698113207547169</v>
      </c>
      <c r="L11" s="289">
        <f t="shared" si="1"/>
        <v>10.689655172413794</v>
      </c>
      <c r="M11" s="290">
        <f t="shared" si="2"/>
        <v>0.10943396226415095</v>
      </c>
      <c r="N11" s="291">
        <v>0.4</v>
      </c>
      <c r="O11" s="339">
        <v>1</v>
      </c>
      <c r="Q11" s="260" t="s">
        <v>186</v>
      </c>
    </row>
    <row r="12" spans="1:17" ht="15" x14ac:dyDescent="0.3">
      <c r="B12" s="288">
        <v>45518</v>
      </c>
      <c r="C12" s="268" t="s">
        <v>187</v>
      </c>
      <c r="D12" s="268" t="s">
        <v>188</v>
      </c>
      <c r="E12" s="268" t="s">
        <v>189</v>
      </c>
      <c r="F12" s="269" t="s">
        <v>168</v>
      </c>
      <c r="G12" s="268" t="s">
        <v>180</v>
      </c>
      <c r="H12" s="271">
        <v>35900</v>
      </c>
      <c r="I12" s="271">
        <v>12950</v>
      </c>
      <c r="J12" s="271">
        <v>2189</v>
      </c>
      <c r="K12" s="289">
        <f t="shared" si="0"/>
        <v>2.772200772200772</v>
      </c>
      <c r="L12" s="289">
        <f t="shared" si="1"/>
        <v>16.400182731841024</v>
      </c>
      <c r="M12" s="290">
        <f t="shared" si="2"/>
        <v>0.16903474903474902</v>
      </c>
      <c r="N12" s="291">
        <v>0.44</v>
      </c>
      <c r="O12" s="339">
        <v>1</v>
      </c>
      <c r="Q12" s="260" t="s">
        <v>190</v>
      </c>
    </row>
    <row r="13" spans="1:17" ht="15" x14ac:dyDescent="0.3">
      <c r="B13" s="288">
        <v>45180</v>
      </c>
      <c r="C13" s="268" t="s">
        <v>191</v>
      </c>
      <c r="D13" s="268" t="s">
        <v>192</v>
      </c>
      <c r="E13" s="268" t="s">
        <v>193</v>
      </c>
      <c r="F13" s="269" t="s">
        <v>185</v>
      </c>
      <c r="G13" s="268" t="s">
        <v>175</v>
      </c>
      <c r="H13" s="271">
        <v>5600</v>
      </c>
      <c r="I13" s="271">
        <v>1380</v>
      </c>
      <c r="J13" s="271">
        <v>320</v>
      </c>
      <c r="K13" s="289">
        <f t="shared" si="0"/>
        <v>4.0579710144927539</v>
      </c>
      <c r="L13" s="289">
        <f t="shared" si="1"/>
        <v>17.5</v>
      </c>
      <c r="M13" s="290">
        <f t="shared" si="2"/>
        <v>0.2318840579710145</v>
      </c>
      <c r="N13" s="291">
        <v>0.54</v>
      </c>
      <c r="O13" s="339">
        <v>1</v>
      </c>
      <c r="Q13" s="260" t="s">
        <v>194</v>
      </c>
    </row>
    <row r="14" spans="1:17" ht="15" x14ac:dyDescent="0.3">
      <c r="B14" s="292">
        <v>45145</v>
      </c>
      <c r="C14" s="274" t="s">
        <v>195</v>
      </c>
      <c r="D14" s="274" t="s">
        <v>196</v>
      </c>
      <c r="E14" s="274" t="s">
        <v>197</v>
      </c>
      <c r="F14" s="275" t="s">
        <v>185</v>
      </c>
      <c r="G14" s="274" t="s">
        <v>180</v>
      </c>
      <c r="H14" s="277">
        <v>2700</v>
      </c>
      <c r="I14" s="277">
        <v>900</v>
      </c>
      <c r="J14" s="277">
        <v>160</v>
      </c>
      <c r="K14" s="293">
        <f t="shared" si="0"/>
        <v>3</v>
      </c>
      <c r="L14" s="293">
        <f t="shared" si="1"/>
        <v>16.875</v>
      </c>
      <c r="M14" s="294">
        <f t="shared" si="2"/>
        <v>0.17777777777777778</v>
      </c>
      <c r="N14" s="295">
        <v>0.28000000000000003</v>
      </c>
      <c r="O14" s="340">
        <v>1</v>
      </c>
      <c r="Q14" s="260" t="s">
        <v>198</v>
      </c>
    </row>
    <row r="16" spans="1:17" ht="15" x14ac:dyDescent="0.3">
      <c r="C16" s="296" t="s">
        <v>199</v>
      </c>
      <c r="D16" s="297"/>
      <c r="E16" s="297"/>
      <c r="F16" s="297"/>
      <c r="G16" s="297"/>
      <c r="H16" s="297"/>
      <c r="I16" s="297"/>
      <c r="J16" s="297"/>
      <c r="K16" s="298">
        <f>IFERROR(MAX(K32:K38),"n.a.")</f>
        <v>4.0579710144927539</v>
      </c>
      <c r="L16" s="298">
        <f>IFERROR(MAX(L32:L38),"n.a.")</f>
        <v>17.5</v>
      </c>
      <c r="M16" s="299">
        <f>IFERROR(MAX(M32:M38),"n.a.")</f>
        <v>0.26084860173577629</v>
      </c>
      <c r="N16" s="299">
        <f>IFERROR(MAX(N32:N38),"n.a.")</f>
        <v>0.54</v>
      </c>
      <c r="O16" s="297"/>
      <c r="Q16" s="260" t="s">
        <v>200</v>
      </c>
    </row>
    <row r="17" spans="1:17" ht="15" x14ac:dyDescent="0.3">
      <c r="C17" s="282" t="s">
        <v>201</v>
      </c>
      <c r="K17" s="300">
        <f>IFERROR(QUARTILE(K32:K38,3),"n.a.")</f>
        <v>3.4126470694672397</v>
      </c>
      <c r="L17" s="300">
        <f>IFERROR(QUARTILE(L32:L38,3),"n.a.")</f>
        <v>16.637591365920514</v>
      </c>
      <c r="M17" s="301">
        <f>IFERROR(QUARTILE(M32:M38,3),"n.a.")</f>
        <v>0.22872348593914965</v>
      </c>
      <c r="N17" s="301">
        <f>IFERROR(QUARTILE(N32:N38,3),"n.a.")</f>
        <v>0.45500000000000002</v>
      </c>
    </row>
    <row r="18" spans="1:17" ht="15" x14ac:dyDescent="0.3">
      <c r="C18" s="282" t="s">
        <v>202</v>
      </c>
      <c r="K18" s="300">
        <f>IFERROR(AVERAGE(K32:K38),"n.a.")</f>
        <v>2.8640826024652157</v>
      </c>
      <c r="L18" s="300">
        <f>IFERROR(AVERAGE(L32:L38),"n.a.")</f>
        <v>14.654785379728922</v>
      </c>
      <c r="M18" s="301">
        <f>IFERROR(AVERAGE(M32:M38),"n.a.")</f>
        <v>0.19218839453141134</v>
      </c>
      <c r="N18" s="301">
        <f>IFERROR(AVERAGE(N32:N38),"n.a.")</f>
        <v>0.40833333333333338</v>
      </c>
    </row>
    <row r="19" spans="1:17" ht="15" x14ac:dyDescent="0.3">
      <c r="C19" s="302" t="s">
        <v>203</v>
      </c>
      <c r="K19" s="303">
        <f>IFERROR(MEDIAN(K32:K38),"n.a.")</f>
        <v>3</v>
      </c>
      <c r="L19" s="303">
        <f>IFERROR(MEDIAN(L32:L38),"n.a.")</f>
        <v>14.298297122724604</v>
      </c>
      <c r="M19" s="304">
        <f>IFERROR(MEDIAN(M32:M38),"n.a.")</f>
        <v>0.17777777777777778</v>
      </c>
      <c r="N19" s="304">
        <f>IFERROR(MEDIAN(N32:N38),"n.a.")</f>
        <v>0.42000000000000004</v>
      </c>
    </row>
    <row r="20" spans="1:17" ht="15" x14ac:dyDescent="0.3">
      <c r="C20" s="282" t="s">
        <v>204</v>
      </c>
      <c r="K20" s="300">
        <f>IFERROR(QUARTILE(K32:K38,1),"n.a.")</f>
        <v>2.4977508715372791</v>
      </c>
      <c r="L20" s="300">
        <f>IFERROR(QUARTILE(L32:L38,1),"n.a.")</f>
        <v>13.410181315561516</v>
      </c>
      <c r="M20" s="301">
        <f>IFERROR(QUARTILE(M32:M38,1),"n.a.")</f>
        <v>0.1699057240319376</v>
      </c>
      <c r="N20" s="301">
        <f>IFERROR(QUARTILE(N32:N38,1),"n.a.")</f>
        <v>0.34750000000000003</v>
      </c>
    </row>
    <row r="21" spans="1:17" ht="15" x14ac:dyDescent="0.3">
      <c r="C21" s="282" t="s">
        <v>205</v>
      </c>
      <c r="K21" s="300">
        <f>IFERROR(MIN(K32:K38),"n.a.")</f>
        <v>1.1698113207547169</v>
      </c>
      <c r="L21" s="300">
        <f>IFERROR(MIN(L32:L38),"n.a.")</f>
        <v>10.689655172413794</v>
      </c>
      <c r="M21" s="301">
        <f>IFERROR(MIN(M32:M38),"n.a.")</f>
        <v>0.10943396226415095</v>
      </c>
      <c r="N21" s="301">
        <f>IFERROR(MIN(N32:N38),"n.a.")</f>
        <v>0.28000000000000003</v>
      </c>
    </row>
    <row r="23" spans="1:17" ht="15" x14ac:dyDescent="0.3">
      <c r="C23" s="296" t="s">
        <v>206</v>
      </c>
      <c r="D23" s="297"/>
      <c r="E23" s="297"/>
      <c r="F23" s="297"/>
      <c r="G23" s="297"/>
      <c r="H23" s="297"/>
      <c r="I23" s="297"/>
      <c r="J23" s="297"/>
      <c r="K23" s="298">
        <f>IFERROR(QUARTILE(K42:K48,3),"n.a.")</f>
        <v>3.3189063161905734</v>
      </c>
      <c r="L23" s="298">
        <f>IFERROR(QUARTILE(L42:L48,3),"n.a.")</f>
        <v>14.823768525003709</v>
      </c>
      <c r="M23" s="299">
        <f>IFERROR(QUARTILE(M42:M48,3),"n.a.")</f>
        <v>0.23438433586440766</v>
      </c>
      <c r="N23" s="299">
        <f>IFERROR(QUARTILE(N42:N48,3),"n.a.")</f>
        <v>0.45</v>
      </c>
      <c r="O23" s="297"/>
      <c r="Q23" s="260" t="s">
        <v>207</v>
      </c>
    </row>
    <row r="24" spans="1:17" ht="15" x14ac:dyDescent="0.3">
      <c r="C24" s="302" t="s">
        <v>208</v>
      </c>
      <c r="K24" s="305">
        <f>IFERROR(QUARTILE(K42:K48,2),"n.a.")</f>
        <v>2.9986831675573393</v>
      </c>
      <c r="L24" s="305">
        <f>IFERROR(QUARTILE(L42:L48,2),"n.a.")</f>
        <v>14.049949547191014</v>
      </c>
      <c r="M24" s="306">
        <f>IFERROR(QUARTILE(M42:M48,2),"n.a.")</f>
        <v>0.19816980646820548</v>
      </c>
      <c r="N24" s="306">
        <f>IFERROR(QUARTILE(N42:N48,2),"n.a.")</f>
        <v>0.44</v>
      </c>
    </row>
    <row r="25" spans="1:17" ht="15" x14ac:dyDescent="0.3">
      <c r="C25" s="282" t="s">
        <v>209</v>
      </c>
      <c r="K25" s="300">
        <f>IFERROR(QUARTILE(K42:K48,1),"n.a.")</f>
        <v>2.6349758218690256</v>
      </c>
      <c r="L25" s="300">
        <f>IFERROR(QUARTILE(L42:L48,1),"n.a.")</f>
        <v>13.605891643609469</v>
      </c>
      <c r="M25" s="301">
        <f>IFERROR(QUARTILE(M42:M48,1),"n.a.")</f>
        <v>0.17034121153053192</v>
      </c>
      <c r="N25" s="301">
        <f>IFERROR(QUARTILE(N42:N48,1),"n.a.")</f>
        <v>0.38500000000000001</v>
      </c>
    </row>
    <row r="26" spans="1:17" x14ac:dyDescent="0.3">
      <c r="Q26" s="260" t="s">
        <v>210</v>
      </c>
    </row>
    <row r="27" spans="1:17" x14ac:dyDescent="0.3"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</row>
    <row r="30" spans="1:17" ht="16.8" x14ac:dyDescent="0.3">
      <c r="A30" s="107" t="s">
        <v>328</v>
      </c>
      <c r="B30" s="129" t="s">
        <v>338</v>
      </c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</row>
    <row r="31" spans="1:17" x14ac:dyDescent="0.3">
      <c r="B31" s="267" t="s">
        <v>211</v>
      </c>
    </row>
    <row r="32" spans="1:17" x14ac:dyDescent="0.3">
      <c r="C32" s="308" t="str">
        <f t="shared" ref="C32:C38" si="3">C8</f>
        <v>Unilever Foods (Knorr, Hellmann's)</v>
      </c>
      <c r="K32" s="309">
        <f t="shared" ref="K32:N38" si="4">IF(AND($O8=1,ISNUMBER(K8)),K8,"")</f>
        <v>3.6001285760205723</v>
      </c>
      <c r="L32" s="309">
        <f t="shared" si="4"/>
        <v>13.801601971657425</v>
      </c>
      <c r="M32" s="310">
        <f t="shared" si="4"/>
        <v>0.26084860173577629</v>
      </c>
      <c r="N32" s="310" t="str">
        <f t="shared" si="4"/>
        <v/>
      </c>
    </row>
    <row r="33" spans="2:14" x14ac:dyDescent="0.3">
      <c r="C33" s="308" t="str">
        <f t="shared" si="3"/>
        <v>Kenvue</v>
      </c>
      <c r="K33" s="309">
        <f t="shared" si="4"/>
        <v>3.2251655629139071</v>
      </c>
      <c r="L33" s="309">
        <f t="shared" si="4"/>
        <v>14.298297122724604</v>
      </c>
      <c r="M33" s="310">
        <f t="shared" si="4"/>
        <v>0.22556291390728478</v>
      </c>
      <c r="N33" s="310">
        <f t="shared" si="4"/>
        <v>0.46</v>
      </c>
    </row>
    <row r="34" spans="2:14" x14ac:dyDescent="0.3">
      <c r="C34" s="308" t="str">
        <f t="shared" si="3"/>
        <v>JDE Peet's</v>
      </c>
      <c r="K34" s="309">
        <f t="shared" si="4"/>
        <v>2.2233009708737863</v>
      </c>
      <c r="L34" s="309">
        <f t="shared" si="4"/>
        <v>13.018760659465606</v>
      </c>
      <c r="M34" s="310">
        <f t="shared" si="4"/>
        <v>0.17077669902912621</v>
      </c>
      <c r="N34" s="310">
        <f t="shared" si="4"/>
        <v>0.33</v>
      </c>
    </row>
    <row r="35" spans="2:14" x14ac:dyDescent="0.3">
      <c r="C35" s="308" t="str">
        <f t="shared" si="3"/>
        <v>WK Kellogg Co</v>
      </c>
      <c r="K35" s="309">
        <f t="shared" si="4"/>
        <v>1.1698113207547169</v>
      </c>
      <c r="L35" s="309">
        <f t="shared" si="4"/>
        <v>10.689655172413794</v>
      </c>
      <c r="M35" s="310">
        <f t="shared" si="4"/>
        <v>0.10943396226415095</v>
      </c>
      <c r="N35" s="310">
        <f t="shared" si="4"/>
        <v>0.4</v>
      </c>
    </row>
    <row r="36" spans="2:14" x14ac:dyDescent="0.3">
      <c r="C36" s="308" t="str">
        <f t="shared" si="3"/>
        <v>Kellanova</v>
      </c>
      <c r="K36" s="309">
        <f t="shared" si="4"/>
        <v>2.772200772200772</v>
      </c>
      <c r="L36" s="309">
        <f t="shared" si="4"/>
        <v>16.400182731841024</v>
      </c>
      <c r="M36" s="310">
        <f t="shared" si="4"/>
        <v>0.16903474903474902</v>
      </c>
      <c r="N36" s="310">
        <f t="shared" si="4"/>
        <v>0.44</v>
      </c>
    </row>
    <row r="37" spans="2:14" x14ac:dyDescent="0.3">
      <c r="C37" s="308" t="str">
        <f t="shared" si="3"/>
        <v>Hostess Brands</v>
      </c>
      <c r="K37" s="309">
        <f t="shared" si="4"/>
        <v>4.0579710144927539</v>
      </c>
      <c r="L37" s="309">
        <f t="shared" si="4"/>
        <v>17.5</v>
      </c>
      <c r="M37" s="310">
        <f t="shared" si="4"/>
        <v>0.2318840579710145</v>
      </c>
      <c r="N37" s="310">
        <f t="shared" si="4"/>
        <v>0.54</v>
      </c>
    </row>
    <row r="38" spans="2:14" x14ac:dyDescent="0.3">
      <c r="C38" s="308" t="str">
        <f t="shared" si="3"/>
        <v>Sovos Brands (Rao's)</v>
      </c>
      <c r="K38" s="309">
        <f t="shared" si="4"/>
        <v>3</v>
      </c>
      <c r="L38" s="309">
        <f t="shared" si="4"/>
        <v>16.875</v>
      </c>
      <c r="M38" s="310">
        <f t="shared" si="4"/>
        <v>0.17777777777777778</v>
      </c>
      <c r="N38" s="310">
        <f t="shared" si="4"/>
        <v>0.28000000000000003</v>
      </c>
    </row>
    <row r="41" spans="2:14" x14ac:dyDescent="0.3">
      <c r="B41" s="267" t="s">
        <v>212</v>
      </c>
    </row>
    <row r="42" spans="2:14" x14ac:dyDescent="0.3">
      <c r="C42" s="308" t="str">
        <f t="shared" ref="C42:C48" si="5">C8</f>
        <v>Unilever Foods (Knorr, Hellmann's)</v>
      </c>
      <c r="K42" s="309">
        <f t="shared" ref="K42:N48" si="6">IF(AND(AND($O8=1,$F8="Large-cap"),ISNUMBER(K8)),K8,"")</f>
        <v>3.6001285760205723</v>
      </c>
      <c r="L42" s="309">
        <f t="shared" si="6"/>
        <v>13.801601971657425</v>
      </c>
      <c r="M42" s="310">
        <f t="shared" si="6"/>
        <v>0.26084860173577629</v>
      </c>
      <c r="N42" s="310" t="str">
        <f t="shared" si="6"/>
        <v/>
      </c>
    </row>
    <row r="43" spans="2:14" x14ac:dyDescent="0.3">
      <c r="C43" s="308" t="str">
        <f t="shared" si="5"/>
        <v>Kenvue</v>
      </c>
      <c r="K43" s="309">
        <f t="shared" si="6"/>
        <v>3.2251655629139071</v>
      </c>
      <c r="L43" s="309">
        <f t="shared" si="6"/>
        <v>14.298297122724604</v>
      </c>
      <c r="M43" s="310">
        <f t="shared" si="6"/>
        <v>0.22556291390728478</v>
      </c>
      <c r="N43" s="310">
        <f t="shared" si="6"/>
        <v>0.46</v>
      </c>
    </row>
    <row r="44" spans="2:14" x14ac:dyDescent="0.3">
      <c r="C44" s="308" t="str">
        <f t="shared" si="5"/>
        <v>JDE Peet's</v>
      </c>
      <c r="K44" s="309">
        <f t="shared" si="6"/>
        <v>2.2233009708737863</v>
      </c>
      <c r="L44" s="309">
        <f t="shared" si="6"/>
        <v>13.018760659465606</v>
      </c>
      <c r="M44" s="310">
        <f t="shared" si="6"/>
        <v>0.17077669902912621</v>
      </c>
      <c r="N44" s="310">
        <f t="shared" si="6"/>
        <v>0.33</v>
      </c>
    </row>
    <row r="45" spans="2:14" x14ac:dyDescent="0.3">
      <c r="C45" s="308" t="str">
        <f t="shared" si="5"/>
        <v>WK Kellogg Co</v>
      </c>
      <c r="K45" s="309" t="str">
        <f t="shared" si="6"/>
        <v/>
      </c>
      <c r="L45" s="309" t="str">
        <f t="shared" si="6"/>
        <v/>
      </c>
      <c r="M45" s="310" t="str">
        <f t="shared" si="6"/>
        <v/>
      </c>
      <c r="N45" s="310" t="str">
        <f t="shared" si="6"/>
        <v/>
      </c>
    </row>
    <row r="46" spans="2:14" x14ac:dyDescent="0.3">
      <c r="C46" s="308" t="str">
        <f t="shared" si="5"/>
        <v>Kellanova</v>
      </c>
      <c r="K46" s="309">
        <f t="shared" si="6"/>
        <v>2.772200772200772</v>
      </c>
      <c r="L46" s="309">
        <f t="shared" si="6"/>
        <v>16.400182731841024</v>
      </c>
      <c r="M46" s="310">
        <f t="shared" si="6"/>
        <v>0.16903474903474902</v>
      </c>
      <c r="N46" s="310">
        <f t="shared" si="6"/>
        <v>0.44</v>
      </c>
    </row>
    <row r="47" spans="2:14" x14ac:dyDescent="0.3">
      <c r="C47" s="308" t="str">
        <f t="shared" si="5"/>
        <v>Hostess Brands</v>
      </c>
      <c r="K47" s="309" t="str">
        <f t="shared" si="6"/>
        <v/>
      </c>
      <c r="L47" s="309" t="str">
        <f t="shared" si="6"/>
        <v/>
      </c>
      <c r="M47" s="310" t="str">
        <f t="shared" si="6"/>
        <v/>
      </c>
      <c r="N47" s="310" t="str">
        <f t="shared" si="6"/>
        <v/>
      </c>
    </row>
    <row r="48" spans="2:14" x14ac:dyDescent="0.3">
      <c r="C48" s="308" t="str">
        <f t="shared" si="5"/>
        <v>Sovos Brands (Rao's)</v>
      </c>
      <c r="K48" s="309" t="str">
        <f t="shared" si="6"/>
        <v/>
      </c>
      <c r="L48" s="309" t="str">
        <f t="shared" si="6"/>
        <v/>
      </c>
      <c r="M48" s="310" t="str">
        <f t="shared" si="6"/>
        <v/>
      </c>
      <c r="N48" s="310" t="str">
        <f t="shared" si="6"/>
        <v/>
      </c>
    </row>
    <row r="50" spans="1:15" x14ac:dyDescent="0.3">
      <c r="A50" s="107" t="s">
        <v>328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</row>
  </sheetData>
  <sheetProtection selectLockedCells="1"/>
  <dataValidations count="1">
    <dataValidation type="whole" sqref="O8:O14" xr:uid="{00000000-0002-0000-0500-000000000000}">
      <formula1>0</formula1>
      <formula2>1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5"/>
  <sheetViews>
    <sheetView showGridLines="0" zoomScaleNormal="100" workbookViewId="0">
      <pane ySplit="1" topLeftCell="A2" activePane="bottomLeft" state="frozen"/>
      <selection pane="bottomLeft" activeCell="F43" sqref="F43"/>
    </sheetView>
  </sheetViews>
  <sheetFormatPr defaultColWidth="8.6640625" defaultRowHeight="14.4" outlineLevelCol="1" x14ac:dyDescent="0.3"/>
  <cols>
    <col min="1" max="1" width="5" style="252" customWidth="1"/>
    <col min="2" max="2" width="20" style="252" customWidth="1"/>
    <col min="3" max="4" width="9" style="252" customWidth="1"/>
    <col min="5" max="5" width="9.109375" style="252" customWidth="1"/>
    <col min="6" max="6" width="9.21875" style="252" customWidth="1"/>
    <col min="7" max="7" width="8.44140625" style="252" customWidth="1"/>
    <col min="8" max="8" width="10.6640625" style="252" customWidth="1"/>
    <col min="9" max="13" width="11" style="252" customWidth="1"/>
    <col min="14" max="14" width="9" style="252" customWidth="1"/>
    <col min="15" max="16" width="11" style="252" customWidth="1"/>
    <col min="17" max="17" width="10.21875" style="252" customWidth="1"/>
    <col min="18" max="18" width="8.44140625" style="252" customWidth="1"/>
    <col min="19" max="19" width="15.21875" style="252" hidden="1" customWidth="1" outlineLevel="1"/>
    <col min="20" max="20" width="8.6640625" style="252" hidden="1" customWidth="1" outlineLevel="1"/>
    <col min="21" max="21" width="8.6640625" style="252" collapsed="1"/>
    <col min="22" max="16384" width="8.6640625" style="252"/>
  </cols>
  <sheetData>
    <row r="1" spans="1:19" s="125" customFormat="1" ht="56.4" customHeight="1" x14ac:dyDescent="0.4">
      <c r="B1" s="126"/>
      <c r="C1" s="127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S1" s="128" t="s">
        <v>389</v>
      </c>
    </row>
    <row r="2" spans="1:19" ht="16.8" x14ac:dyDescent="0.4">
      <c r="R2" s="125"/>
      <c r="S2" s="125"/>
    </row>
    <row r="3" spans="1:19" ht="16.8" x14ac:dyDescent="0.4">
      <c r="A3" s="252" t="s">
        <v>328</v>
      </c>
      <c r="B3" s="253" t="s">
        <v>213</v>
      </c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125"/>
      <c r="S3" s="125"/>
    </row>
    <row r="4" spans="1:19" ht="16.8" x14ac:dyDescent="0.4">
      <c r="B4" s="255"/>
      <c r="R4" s="125"/>
      <c r="S4" s="125"/>
    </row>
    <row r="5" spans="1:19" ht="16.8" x14ac:dyDescent="0.4">
      <c r="R5" s="125"/>
    </row>
    <row r="6" spans="1:19" ht="16.8" x14ac:dyDescent="0.4">
      <c r="B6" s="256" t="s">
        <v>214</v>
      </c>
      <c r="C6" s="257" t="s">
        <v>215</v>
      </c>
      <c r="D6" s="331" t="s">
        <v>216</v>
      </c>
      <c r="R6" s="125"/>
    </row>
    <row r="7" spans="1:19" ht="16.8" x14ac:dyDescent="0.4">
      <c r="B7" s="258" t="s">
        <v>217</v>
      </c>
      <c r="C7" s="259" t="s">
        <v>218</v>
      </c>
      <c r="D7" s="332">
        <v>1</v>
      </c>
      <c r="R7" s="125"/>
      <c r="S7" s="260" t="s">
        <v>219</v>
      </c>
    </row>
    <row r="8" spans="1:19" ht="16.8" x14ac:dyDescent="0.4">
      <c r="B8" s="258" t="s">
        <v>220</v>
      </c>
      <c r="C8" s="259" t="s">
        <v>221</v>
      </c>
      <c r="D8" s="332">
        <v>0.79</v>
      </c>
      <c r="R8" s="125"/>
      <c r="S8" s="377" t="s">
        <v>402</v>
      </c>
    </row>
    <row r="9" spans="1:19" ht="16.8" x14ac:dyDescent="0.4">
      <c r="B9" s="261" t="s">
        <v>222</v>
      </c>
      <c r="C9" s="262" t="s">
        <v>223</v>
      </c>
      <c r="D9" s="333">
        <v>0.93</v>
      </c>
      <c r="R9" s="125"/>
      <c r="S9" s="372"/>
    </row>
    <row r="10" spans="1:19" ht="16.8" x14ac:dyDescent="0.4">
      <c r="R10" s="125"/>
      <c r="S10" s="372"/>
    </row>
    <row r="11" spans="1:19" s="266" customFormat="1" ht="39.6" x14ac:dyDescent="0.4">
      <c r="B11" s="263" t="s">
        <v>25</v>
      </c>
      <c r="C11" s="263" t="s">
        <v>224</v>
      </c>
      <c r="D11" s="263" t="s">
        <v>111</v>
      </c>
      <c r="E11" s="263" t="s">
        <v>332</v>
      </c>
      <c r="F11" s="263" t="s">
        <v>226</v>
      </c>
      <c r="G11" s="263" t="s">
        <v>227</v>
      </c>
      <c r="H11" s="263" t="s">
        <v>228</v>
      </c>
      <c r="I11" s="263" t="s">
        <v>229</v>
      </c>
      <c r="J11" s="263" t="s">
        <v>230</v>
      </c>
      <c r="K11" s="263" t="s">
        <v>231</v>
      </c>
      <c r="L11" s="263" t="s">
        <v>232</v>
      </c>
      <c r="M11" s="263" t="s">
        <v>156</v>
      </c>
      <c r="N11" s="263" t="s">
        <v>233</v>
      </c>
      <c r="O11" s="263" t="s">
        <v>112</v>
      </c>
      <c r="P11" s="263" t="s">
        <v>113</v>
      </c>
      <c r="Q11" s="263" t="s">
        <v>333</v>
      </c>
      <c r="R11" s="264"/>
      <c r="S11" s="265"/>
    </row>
    <row r="12" spans="1:19" ht="16.8" x14ac:dyDescent="0.4">
      <c r="B12" s="267" t="s">
        <v>234</v>
      </c>
      <c r="G12" s="372"/>
      <c r="H12" s="372"/>
      <c r="R12" s="125"/>
      <c r="S12" s="372"/>
    </row>
    <row r="13" spans="1:19" ht="16.8" x14ac:dyDescent="0.4">
      <c r="B13" s="268" t="s">
        <v>235</v>
      </c>
      <c r="C13" s="269" t="s">
        <v>236</v>
      </c>
      <c r="D13" s="329">
        <v>1</v>
      </c>
      <c r="E13" s="269" t="s">
        <v>223</v>
      </c>
      <c r="F13" s="269" t="s">
        <v>237</v>
      </c>
      <c r="G13" s="373">
        <v>57.55</v>
      </c>
      <c r="H13" s="374">
        <v>645</v>
      </c>
      <c r="I13" s="272">
        <f t="shared" ref="I13:I20" si="0">G13*H13</f>
        <v>37119.75</v>
      </c>
      <c r="J13" s="271">
        <v>9800</v>
      </c>
      <c r="K13" s="271">
        <v>600</v>
      </c>
      <c r="L13" s="271">
        <v>800</v>
      </c>
      <c r="M13" s="272">
        <f t="shared" ref="M13:M20" si="1">I13+J13+K13-L13</f>
        <v>46719.75</v>
      </c>
      <c r="N13" s="273">
        <f t="shared" ref="N13:N20" si="2">INDEX($D$7:$D$9,MATCH(E13,$C$7:$C$9,0))</f>
        <v>0.93</v>
      </c>
      <c r="O13" s="272">
        <f t="shared" ref="O13:O20" si="3">I13*N13</f>
        <v>34521.3675</v>
      </c>
      <c r="P13" s="272">
        <f>M13*N13</f>
        <v>43449.3675</v>
      </c>
      <c r="Q13" s="334">
        <v>1</v>
      </c>
      <c r="R13" s="125"/>
      <c r="S13" s="377" t="s">
        <v>403</v>
      </c>
    </row>
    <row r="14" spans="1:19" ht="16.8" x14ac:dyDescent="0.4">
      <c r="B14" s="268" t="s">
        <v>238</v>
      </c>
      <c r="C14" s="269" t="s">
        <v>239</v>
      </c>
      <c r="D14" s="329">
        <v>1</v>
      </c>
      <c r="E14" s="269" t="s">
        <v>223</v>
      </c>
      <c r="F14" s="269" t="s">
        <v>237</v>
      </c>
      <c r="G14" s="373">
        <v>51.68</v>
      </c>
      <c r="H14" s="374">
        <v>2190</v>
      </c>
      <c r="I14" s="272">
        <f t="shared" si="0"/>
        <v>113179.2</v>
      </c>
      <c r="J14" s="271">
        <v>22500</v>
      </c>
      <c r="K14" s="271">
        <v>18000</v>
      </c>
      <c r="L14" s="271">
        <v>500</v>
      </c>
      <c r="M14" s="272">
        <f t="shared" si="1"/>
        <v>153179.20000000001</v>
      </c>
      <c r="N14" s="273">
        <f t="shared" si="2"/>
        <v>0.93</v>
      </c>
      <c r="O14" s="272">
        <f t="shared" si="3"/>
        <v>105256.656</v>
      </c>
      <c r="P14" s="272">
        <f t="shared" ref="P14:P20" si="4">M14*N14</f>
        <v>142456.65600000002</v>
      </c>
      <c r="Q14" s="335">
        <v>1</v>
      </c>
      <c r="R14" s="125"/>
      <c r="S14" s="377" t="s">
        <v>404</v>
      </c>
    </row>
    <row r="15" spans="1:19" ht="16.8" x14ac:dyDescent="0.4">
      <c r="B15" s="268" t="s">
        <v>240</v>
      </c>
      <c r="C15" s="269" t="s">
        <v>241</v>
      </c>
      <c r="D15" s="329">
        <v>1</v>
      </c>
      <c r="E15" s="269" t="s">
        <v>221</v>
      </c>
      <c r="F15" s="269" t="s">
        <v>237</v>
      </c>
      <c r="G15" s="373">
        <v>125.6</v>
      </c>
      <c r="H15" s="374">
        <v>1370</v>
      </c>
      <c r="I15" s="272">
        <f t="shared" si="0"/>
        <v>172072</v>
      </c>
      <c r="J15" s="271">
        <v>43500</v>
      </c>
      <c r="K15" s="271">
        <v>500</v>
      </c>
      <c r="L15" s="271">
        <v>1500</v>
      </c>
      <c r="M15" s="272">
        <f t="shared" si="1"/>
        <v>214572</v>
      </c>
      <c r="N15" s="273">
        <f t="shared" si="2"/>
        <v>0.79</v>
      </c>
      <c r="O15" s="272">
        <f t="shared" si="3"/>
        <v>135936.88</v>
      </c>
      <c r="P15" s="272">
        <f t="shared" si="4"/>
        <v>169511.88</v>
      </c>
      <c r="Q15" s="335">
        <v>1</v>
      </c>
      <c r="R15" s="125"/>
      <c r="S15" s="377" t="s">
        <v>405</v>
      </c>
    </row>
    <row r="16" spans="1:19" ht="16.8" x14ac:dyDescent="0.4">
      <c r="B16" s="268" t="s">
        <v>242</v>
      </c>
      <c r="C16" s="269" t="s">
        <v>243</v>
      </c>
      <c r="D16" s="329">
        <v>1</v>
      </c>
      <c r="E16" s="269" t="s">
        <v>221</v>
      </c>
      <c r="F16" s="269" t="s">
        <v>237</v>
      </c>
      <c r="G16" s="373">
        <v>57.76</v>
      </c>
      <c r="H16" s="374">
        <v>1276</v>
      </c>
      <c r="I16" s="272">
        <f t="shared" si="0"/>
        <v>73701.759999999995</v>
      </c>
      <c r="J16" s="271">
        <v>19500</v>
      </c>
      <c r="K16" s="271">
        <v>100</v>
      </c>
      <c r="L16" s="271">
        <v>1000</v>
      </c>
      <c r="M16" s="272">
        <f t="shared" si="1"/>
        <v>92301.759999999995</v>
      </c>
      <c r="N16" s="273">
        <f t="shared" si="2"/>
        <v>0.79</v>
      </c>
      <c r="O16" s="272">
        <f t="shared" si="3"/>
        <v>58224.390399999997</v>
      </c>
      <c r="P16" s="272">
        <f t="shared" si="4"/>
        <v>72918.390400000004</v>
      </c>
      <c r="Q16" s="335">
        <v>1</v>
      </c>
      <c r="R16" s="125"/>
      <c r="S16" s="377" t="s">
        <v>406</v>
      </c>
    </row>
    <row r="17" spans="2:19" ht="16.8" x14ac:dyDescent="0.4">
      <c r="B17" s="268" t="s">
        <v>244</v>
      </c>
      <c r="C17" s="269" t="s">
        <v>245</v>
      </c>
      <c r="D17" s="329">
        <v>2</v>
      </c>
      <c r="E17" s="269" t="s">
        <v>221</v>
      </c>
      <c r="F17" s="269" t="s">
        <v>237</v>
      </c>
      <c r="G17" s="373">
        <v>86.1</v>
      </c>
      <c r="H17" s="374">
        <v>4300</v>
      </c>
      <c r="I17" s="272">
        <f t="shared" si="0"/>
        <v>370230</v>
      </c>
      <c r="J17" s="271">
        <v>31000</v>
      </c>
      <c r="K17" s="271">
        <v>2000</v>
      </c>
      <c r="L17" s="271">
        <v>19500</v>
      </c>
      <c r="M17" s="272">
        <f t="shared" si="1"/>
        <v>383730</v>
      </c>
      <c r="N17" s="273">
        <f t="shared" si="2"/>
        <v>0.79</v>
      </c>
      <c r="O17" s="272">
        <f t="shared" si="3"/>
        <v>292481.7</v>
      </c>
      <c r="P17" s="272">
        <f t="shared" si="4"/>
        <v>303146.7</v>
      </c>
      <c r="Q17" s="335">
        <v>1</v>
      </c>
      <c r="R17" s="125"/>
      <c r="S17" s="377" t="s">
        <v>407</v>
      </c>
    </row>
    <row r="18" spans="2:19" ht="16.8" x14ac:dyDescent="0.4">
      <c r="B18" s="268" t="s">
        <v>246</v>
      </c>
      <c r="C18" s="269" t="s">
        <v>247</v>
      </c>
      <c r="D18" s="329">
        <v>2</v>
      </c>
      <c r="E18" s="269" t="s">
        <v>221</v>
      </c>
      <c r="F18" s="269" t="s">
        <v>237</v>
      </c>
      <c r="G18" s="373">
        <v>159.30000000000001</v>
      </c>
      <c r="H18" s="374">
        <v>201</v>
      </c>
      <c r="I18" s="272">
        <f t="shared" si="0"/>
        <v>32019.300000000003</v>
      </c>
      <c r="J18" s="271">
        <v>4900</v>
      </c>
      <c r="K18" s="271">
        <v>0</v>
      </c>
      <c r="L18" s="271">
        <v>0</v>
      </c>
      <c r="M18" s="272">
        <f t="shared" si="1"/>
        <v>36919.300000000003</v>
      </c>
      <c r="N18" s="273">
        <f t="shared" si="2"/>
        <v>0.79</v>
      </c>
      <c r="O18" s="272">
        <f t="shared" si="3"/>
        <v>25295.247000000003</v>
      </c>
      <c r="P18" s="272">
        <f t="shared" si="4"/>
        <v>29166.247000000003</v>
      </c>
      <c r="Q18" s="335">
        <v>1</v>
      </c>
      <c r="R18" s="125"/>
      <c r="S18" s="377" t="s">
        <v>408</v>
      </c>
    </row>
    <row r="19" spans="2:19" ht="16.8" x14ac:dyDescent="0.4">
      <c r="B19" s="268" t="s">
        <v>248</v>
      </c>
      <c r="C19" s="269" t="s">
        <v>249</v>
      </c>
      <c r="D19" s="329">
        <v>2</v>
      </c>
      <c r="E19" s="269" t="s">
        <v>221</v>
      </c>
      <c r="F19" s="269" t="s">
        <v>250</v>
      </c>
      <c r="G19" s="373">
        <v>31.67</v>
      </c>
      <c r="H19" s="374">
        <v>535</v>
      </c>
      <c r="I19" s="272">
        <f t="shared" si="0"/>
        <v>16943.45</v>
      </c>
      <c r="J19" s="271">
        <v>14200</v>
      </c>
      <c r="K19" s="271">
        <v>300</v>
      </c>
      <c r="L19" s="271">
        <v>500</v>
      </c>
      <c r="M19" s="272">
        <f t="shared" si="1"/>
        <v>30943.45</v>
      </c>
      <c r="N19" s="273">
        <f t="shared" si="2"/>
        <v>0.79</v>
      </c>
      <c r="O19" s="272">
        <f t="shared" si="3"/>
        <v>13385.325500000001</v>
      </c>
      <c r="P19" s="272">
        <f t="shared" si="4"/>
        <v>24445.325500000003</v>
      </c>
      <c r="Q19" s="335">
        <v>1</v>
      </c>
      <c r="R19" s="125"/>
      <c r="S19" s="377" t="s">
        <v>409</v>
      </c>
    </row>
    <row r="20" spans="2:19" ht="16.8" x14ac:dyDescent="0.4">
      <c r="B20" s="274" t="s">
        <v>251</v>
      </c>
      <c r="C20" s="275" t="s">
        <v>252</v>
      </c>
      <c r="D20" s="330">
        <v>2</v>
      </c>
      <c r="E20" s="275" t="s">
        <v>221</v>
      </c>
      <c r="F20" s="275" t="s">
        <v>237</v>
      </c>
      <c r="G20" s="375">
        <v>22.19</v>
      </c>
      <c r="H20" s="376">
        <v>1185</v>
      </c>
      <c r="I20" s="278">
        <f t="shared" si="0"/>
        <v>26295.15</v>
      </c>
      <c r="J20" s="277">
        <v>19200</v>
      </c>
      <c r="K20" s="277">
        <v>150</v>
      </c>
      <c r="L20" s="277">
        <v>0</v>
      </c>
      <c r="M20" s="278">
        <f t="shared" si="1"/>
        <v>45645.15</v>
      </c>
      <c r="N20" s="279">
        <f t="shared" si="2"/>
        <v>0.79</v>
      </c>
      <c r="O20" s="278">
        <f t="shared" si="3"/>
        <v>20773.168500000003</v>
      </c>
      <c r="P20" s="278">
        <f t="shared" si="4"/>
        <v>36059.6685</v>
      </c>
      <c r="Q20" s="336">
        <v>1</v>
      </c>
      <c r="R20" s="125"/>
      <c r="S20" s="377" t="s">
        <v>410</v>
      </c>
    </row>
    <row r="21" spans="2:19" ht="16.8" x14ac:dyDescent="0.4">
      <c r="R21" s="125"/>
      <c r="S21" s="377" t="s">
        <v>411</v>
      </c>
    </row>
    <row r="22" spans="2:19" ht="16.8" x14ac:dyDescent="0.4">
      <c r="B22" s="267" t="s">
        <v>253</v>
      </c>
      <c r="R22" s="125"/>
    </row>
    <row r="23" spans="2:19" ht="16.8" x14ac:dyDescent="0.4">
      <c r="B23" s="263" t="s">
        <v>25</v>
      </c>
      <c r="C23" s="263" t="s">
        <v>225</v>
      </c>
      <c r="D23" s="280" t="s">
        <v>254</v>
      </c>
      <c r="E23" s="280"/>
      <c r="F23" s="280"/>
      <c r="G23" s="280" t="s">
        <v>255</v>
      </c>
      <c r="H23" s="280"/>
      <c r="I23" s="280"/>
      <c r="J23" s="280" t="s">
        <v>256</v>
      </c>
      <c r="K23" s="280"/>
      <c r="L23" s="280"/>
      <c r="M23" s="280" t="s">
        <v>257</v>
      </c>
      <c r="N23" s="280"/>
      <c r="O23" s="280"/>
      <c r="R23" s="125"/>
      <c r="S23" s="281"/>
    </row>
    <row r="24" spans="2:19" ht="16.8" x14ac:dyDescent="0.4">
      <c r="B24" s="263"/>
      <c r="C24" s="263"/>
      <c r="D24" s="263" t="s">
        <v>258</v>
      </c>
      <c r="E24" s="263" t="s">
        <v>335</v>
      </c>
      <c r="F24" s="263" t="s">
        <v>336</v>
      </c>
      <c r="G24" s="263" t="s">
        <v>258</v>
      </c>
      <c r="H24" s="263" t="s">
        <v>335</v>
      </c>
      <c r="I24" s="263" t="s">
        <v>336</v>
      </c>
      <c r="J24" s="263" t="s">
        <v>258</v>
      </c>
      <c r="K24" s="263" t="s">
        <v>335</v>
      </c>
      <c r="L24" s="263" t="s">
        <v>336</v>
      </c>
      <c r="M24" s="263" t="s">
        <v>258</v>
      </c>
      <c r="N24" s="263" t="s">
        <v>335</v>
      </c>
      <c r="O24" s="263" t="s">
        <v>336</v>
      </c>
      <c r="R24" s="125"/>
    </row>
    <row r="25" spans="2:19" ht="16.8" x14ac:dyDescent="0.4">
      <c r="B25" s="282" t="str">
        <f t="shared" ref="B25:B32" si="5">B13</f>
        <v>Danone</v>
      </c>
      <c r="C25" s="283" t="str">
        <f t="shared" ref="C25:C32" si="6">E13</f>
        <v>EUR</v>
      </c>
      <c r="D25" s="271">
        <v>27450</v>
      </c>
      <c r="E25" s="271">
        <v>28300</v>
      </c>
      <c r="F25" s="271">
        <v>29350</v>
      </c>
      <c r="G25" s="271">
        <v>4855</v>
      </c>
      <c r="H25" s="271">
        <v>5070</v>
      </c>
      <c r="I25" s="271">
        <v>5320</v>
      </c>
      <c r="J25" s="271">
        <v>3705</v>
      </c>
      <c r="K25" s="271">
        <v>3905</v>
      </c>
      <c r="L25" s="271">
        <v>4140</v>
      </c>
      <c r="M25" s="270">
        <v>3.8</v>
      </c>
      <c r="N25" s="270">
        <v>4.0199999999999996</v>
      </c>
      <c r="O25" s="270">
        <v>4.32</v>
      </c>
      <c r="R25" s="125"/>
      <c r="S25" s="260" t="s">
        <v>259</v>
      </c>
    </row>
    <row r="26" spans="2:19" ht="16.8" x14ac:dyDescent="0.4">
      <c r="B26" s="282" t="str">
        <f t="shared" si="5"/>
        <v>Unilever</v>
      </c>
      <c r="C26" s="283" t="str">
        <f t="shared" si="6"/>
        <v>EUR</v>
      </c>
      <c r="D26" s="271">
        <v>51800</v>
      </c>
      <c r="E26" s="271">
        <v>52900</v>
      </c>
      <c r="F26" s="271">
        <v>54700</v>
      </c>
      <c r="G26" s="271">
        <v>11950</v>
      </c>
      <c r="H26" s="271">
        <v>12300</v>
      </c>
      <c r="I26" s="271">
        <v>12850</v>
      </c>
      <c r="J26" s="271">
        <v>10450</v>
      </c>
      <c r="K26" s="271">
        <v>10750</v>
      </c>
      <c r="L26" s="271">
        <v>11250</v>
      </c>
      <c r="M26" s="270">
        <v>2.8</v>
      </c>
      <c r="N26" s="270">
        <v>2.95</v>
      </c>
      <c r="O26" s="270">
        <v>3.15</v>
      </c>
      <c r="R26" s="125"/>
    </row>
    <row r="27" spans="2:19" ht="16.8" x14ac:dyDescent="0.4">
      <c r="B27" s="282" t="str">
        <f t="shared" si="5"/>
        <v>PepsiCo</v>
      </c>
      <c r="C27" s="283" t="str">
        <f t="shared" si="6"/>
        <v>USD</v>
      </c>
      <c r="D27" s="271">
        <v>93900</v>
      </c>
      <c r="E27" s="271">
        <v>96300</v>
      </c>
      <c r="F27" s="271">
        <v>99500</v>
      </c>
      <c r="G27" s="271">
        <v>17200</v>
      </c>
      <c r="H27" s="271">
        <v>17800</v>
      </c>
      <c r="I27" s="271">
        <v>18600</v>
      </c>
      <c r="J27" s="271">
        <v>13800</v>
      </c>
      <c r="K27" s="271">
        <v>14300</v>
      </c>
      <c r="L27" s="271">
        <v>15000</v>
      </c>
      <c r="M27" s="270">
        <v>8.1</v>
      </c>
      <c r="N27" s="270">
        <v>8.4499999999999993</v>
      </c>
      <c r="O27" s="270">
        <v>8.9499999999999993</v>
      </c>
      <c r="R27" s="125"/>
    </row>
    <row r="28" spans="2:19" ht="16.8" x14ac:dyDescent="0.4">
      <c r="B28" s="282" t="str">
        <f t="shared" si="5"/>
        <v>Mondelez</v>
      </c>
      <c r="C28" s="283" t="str">
        <f t="shared" si="6"/>
        <v>USD</v>
      </c>
      <c r="D28" s="271">
        <v>38500</v>
      </c>
      <c r="E28" s="271">
        <v>39600</v>
      </c>
      <c r="F28" s="271">
        <v>41000</v>
      </c>
      <c r="G28" s="271">
        <v>7150</v>
      </c>
      <c r="H28" s="271">
        <v>7300</v>
      </c>
      <c r="I28" s="271">
        <v>7800</v>
      </c>
      <c r="J28" s="271">
        <v>5950</v>
      </c>
      <c r="K28" s="271">
        <v>6050</v>
      </c>
      <c r="L28" s="271">
        <v>6500</v>
      </c>
      <c r="M28" s="270">
        <v>2.95</v>
      </c>
      <c r="N28" s="270">
        <v>3.05</v>
      </c>
      <c r="O28" s="270">
        <v>3.35</v>
      </c>
      <c r="R28" s="125"/>
    </row>
    <row r="29" spans="2:19" ht="16.8" x14ac:dyDescent="0.4">
      <c r="B29" s="282" t="str">
        <f t="shared" si="5"/>
        <v>Coca-Cola</v>
      </c>
      <c r="C29" s="283" t="str">
        <f t="shared" si="6"/>
        <v>USD</v>
      </c>
      <c r="D29" s="271">
        <v>47900</v>
      </c>
      <c r="E29" s="271">
        <v>50200</v>
      </c>
      <c r="F29" s="271">
        <v>52800</v>
      </c>
      <c r="G29" s="271">
        <v>16000</v>
      </c>
      <c r="H29" s="271">
        <v>16900</v>
      </c>
      <c r="I29" s="271">
        <v>17900</v>
      </c>
      <c r="J29" s="271">
        <v>14900</v>
      </c>
      <c r="K29" s="271">
        <v>15800</v>
      </c>
      <c r="L29" s="271">
        <v>16750</v>
      </c>
      <c r="M29" s="270">
        <v>3</v>
      </c>
      <c r="N29" s="270">
        <v>3.22</v>
      </c>
      <c r="O29" s="270">
        <v>3.45</v>
      </c>
      <c r="R29" s="125"/>
    </row>
    <row r="30" spans="2:19" ht="16.8" x14ac:dyDescent="0.4">
      <c r="B30" s="282" t="str">
        <f t="shared" si="5"/>
        <v>Hershey</v>
      </c>
      <c r="C30" s="283" t="str">
        <f t="shared" si="6"/>
        <v>USD</v>
      </c>
      <c r="D30" s="271">
        <v>11650</v>
      </c>
      <c r="E30" s="271">
        <v>12250</v>
      </c>
      <c r="F30" s="271">
        <v>12700</v>
      </c>
      <c r="G30" s="271">
        <v>2720</v>
      </c>
      <c r="H30" s="271">
        <v>3350</v>
      </c>
      <c r="I30" s="271">
        <v>3580</v>
      </c>
      <c r="J30" s="271">
        <v>2250</v>
      </c>
      <c r="K30" s="271">
        <v>2860</v>
      </c>
      <c r="L30" s="271">
        <v>3070</v>
      </c>
      <c r="M30" s="270">
        <v>6.1</v>
      </c>
      <c r="N30" s="270">
        <v>8.1</v>
      </c>
      <c r="O30" s="270">
        <v>8.9</v>
      </c>
      <c r="R30" s="125"/>
    </row>
    <row r="31" spans="2:19" ht="16.8" x14ac:dyDescent="0.4">
      <c r="B31" s="282" t="str">
        <f t="shared" si="5"/>
        <v>General Mills</v>
      </c>
      <c r="C31" s="283" t="str">
        <f t="shared" si="6"/>
        <v>USD</v>
      </c>
      <c r="D31" s="272">
        <f>I40</f>
        <v>18707.083333333336</v>
      </c>
      <c r="E31" s="272">
        <f>J40</f>
        <v>17975</v>
      </c>
      <c r="F31" s="272">
        <f>K40</f>
        <v>18025</v>
      </c>
      <c r="G31" s="272">
        <f>I41</f>
        <v>3709.166666666667</v>
      </c>
      <c r="H31" s="272">
        <f>J41</f>
        <v>3421.666666666667</v>
      </c>
      <c r="I31" s="272">
        <f>K41</f>
        <v>3450</v>
      </c>
      <c r="J31" s="272">
        <f>I42</f>
        <v>3159.166666666667</v>
      </c>
      <c r="K31" s="272">
        <f>J42</f>
        <v>2871.666666666667</v>
      </c>
      <c r="L31" s="272">
        <f>K42</f>
        <v>2894.166666666667</v>
      </c>
      <c r="M31" s="284">
        <f>I43</f>
        <v>3.7374999999999998</v>
      </c>
      <c r="N31" s="284">
        <f>J43</f>
        <v>3.2075</v>
      </c>
      <c r="O31" s="284">
        <f>K43</f>
        <v>3.2508333333333335</v>
      </c>
      <c r="R31" s="125"/>
      <c r="S31" s="260" t="s">
        <v>260</v>
      </c>
    </row>
    <row r="32" spans="2:19" ht="16.8" x14ac:dyDescent="0.4">
      <c r="B32" s="285" t="str">
        <f t="shared" si="5"/>
        <v>Kraft Heinz</v>
      </c>
      <c r="C32" s="286" t="str">
        <f t="shared" si="6"/>
        <v>USD</v>
      </c>
      <c r="D32" s="277">
        <v>24942</v>
      </c>
      <c r="E32" s="277">
        <v>24150</v>
      </c>
      <c r="F32" s="277">
        <v>24050</v>
      </c>
      <c r="G32" s="277">
        <v>5900</v>
      </c>
      <c r="H32" s="277">
        <v>5350</v>
      </c>
      <c r="I32" s="277">
        <v>5300</v>
      </c>
      <c r="J32" s="277">
        <v>4950</v>
      </c>
      <c r="K32" s="277">
        <v>4400</v>
      </c>
      <c r="L32" s="277">
        <v>4350</v>
      </c>
      <c r="M32" s="276">
        <v>2.58</v>
      </c>
      <c r="N32" s="276">
        <v>2.1</v>
      </c>
      <c r="O32" s="276">
        <v>2.15</v>
      </c>
      <c r="R32" s="125"/>
    </row>
    <row r="33" spans="1:19" ht="16.8" x14ac:dyDescent="0.4">
      <c r="R33" s="125"/>
    </row>
    <row r="34" spans="1:19" ht="16.8" x14ac:dyDescent="0.4">
      <c r="R34" s="125"/>
    </row>
    <row r="35" spans="1:19" ht="16.8" x14ac:dyDescent="0.4">
      <c r="R35" s="125"/>
    </row>
    <row r="36" spans="1:19" ht="16.8" x14ac:dyDescent="0.4">
      <c r="B36" s="267" t="s">
        <v>261</v>
      </c>
      <c r="R36" s="125"/>
    </row>
    <row r="37" spans="1:19" ht="16.8" x14ac:dyDescent="0.4">
      <c r="B37" s="282" t="s">
        <v>262</v>
      </c>
      <c r="H37" s="337">
        <v>5</v>
      </c>
      <c r="R37" s="125"/>
      <c r="S37" s="260" t="s">
        <v>263</v>
      </c>
    </row>
    <row r="38" spans="1:19" ht="16.8" x14ac:dyDescent="0.4">
      <c r="R38" s="125"/>
    </row>
    <row r="39" spans="1:19" ht="26.4" x14ac:dyDescent="0.4">
      <c r="B39" s="263" t="s">
        <v>264</v>
      </c>
      <c r="C39" s="263"/>
      <c r="D39" s="263" t="s">
        <v>265</v>
      </c>
      <c r="E39" s="263" t="s">
        <v>266</v>
      </c>
      <c r="F39" s="263" t="s">
        <v>334</v>
      </c>
      <c r="G39" s="263" t="s">
        <v>337</v>
      </c>
      <c r="H39" s="263"/>
      <c r="I39" s="263" t="s">
        <v>258</v>
      </c>
      <c r="J39" s="263" t="s">
        <v>335</v>
      </c>
      <c r="K39" s="263" t="s">
        <v>336</v>
      </c>
      <c r="R39" s="125"/>
    </row>
    <row r="40" spans="1:19" ht="16.8" x14ac:dyDescent="0.4">
      <c r="B40" s="282" t="s">
        <v>267</v>
      </c>
      <c r="D40" s="271">
        <v>19487</v>
      </c>
      <c r="E40" s="271">
        <v>18150</v>
      </c>
      <c r="F40" s="271">
        <v>17850</v>
      </c>
      <c r="G40" s="271">
        <v>18150</v>
      </c>
      <c r="I40" s="272">
        <f>$H$37/12*D40+(12-$H$37)/12*E40</f>
        <v>18707.083333333336</v>
      </c>
      <c r="J40" s="272">
        <f t="shared" ref="I40:K43" si="7">$H$37/12*E40+(12-$H$37)/12*F40</f>
        <v>17975</v>
      </c>
      <c r="K40" s="272">
        <f t="shared" si="7"/>
        <v>18025</v>
      </c>
      <c r="R40" s="125"/>
      <c r="S40" s="377" t="s">
        <v>412</v>
      </c>
    </row>
    <row r="41" spans="1:19" ht="16.8" x14ac:dyDescent="0.4">
      <c r="B41" s="282" t="s">
        <v>255</v>
      </c>
      <c r="D41" s="271">
        <v>4030</v>
      </c>
      <c r="E41" s="271">
        <v>3480</v>
      </c>
      <c r="F41" s="271">
        <v>3380</v>
      </c>
      <c r="G41" s="271">
        <v>3500</v>
      </c>
      <c r="I41" s="272">
        <f t="shared" si="7"/>
        <v>3709.166666666667</v>
      </c>
      <c r="J41" s="272">
        <f t="shared" si="7"/>
        <v>3421.666666666667</v>
      </c>
      <c r="K41" s="272">
        <f t="shared" si="7"/>
        <v>3450</v>
      </c>
      <c r="R41" s="125"/>
    </row>
    <row r="42" spans="1:19" ht="16.8" x14ac:dyDescent="0.4">
      <c r="B42" s="282" t="s">
        <v>268</v>
      </c>
      <c r="D42" s="271">
        <v>3480</v>
      </c>
      <c r="E42" s="271">
        <v>2930</v>
      </c>
      <c r="F42" s="271">
        <v>2830</v>
      </c>
      <c r="G42" s="271">
        <v>2940</v>
      </c>
      <c r="I42" s="272">
        <f t="shared" si="7"/>
        <v>3159.166666666667</v>
      </c>
      <c r="J42" s="272">
        <f t="shared" si="7"/>
        <v>2871.666666666667</v>
      </c>
      <c r="K42" s="272">
        <f t="shared" si="7"/>
        <v>2894.166666666667</v>
      </c>
      <c r="R42" s="125"/>
    </row>
    <row r="43" spans="1:19" ht="16.8" x14ac:dyDescent="0.4">
      <c r="B43" s="282" t="s">
        <v>269</v>
      </c>
      <c r="D43" s="270">
        <v>4.21</v>
      </c>
      <c r="E43" s="270">
        <v>3.4</v>
      </c>
      <c r="F43" s="373">
        <v>3.07</v>
      </c>
      <c r="G43" s="270">
        <v>3.38</v>
      </c>
      <c r="I43" s="284">
        <f t="shared" si="7"/>
        <v>3.7374999999999998</v>
      </c>
      <c r="J43" s="284">
        <f t="shared" si="7"/>
        <v>3.2075</v>
      </c>
      <c r="K43" s="284">
        <f t="shared" si="7"/>
        <v>3.2508333333333335</v>
      </c>
      <c r="R43" s="125"/>
    </row>
    <row r="44" spans="1:19" ht="16.8" x14ac:dyDescent="0.4">
      <c r="R44" s="125"/>
    </row>
    <row r="45" spans="1:19" ht="16.8" x14ac:dyDescent="0.4">
      <c r="A45" s="252" t="s">
        <v>328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125"/>
    </row>
    <row r="46" spans="1:19" ht="16.8" x14ac:dyDescent="0.4">
      <c r="R46" s="125"/>
    </row>
    <row r="47" spans="1:19" ht="16.8" x14ac:dyDescent="0.4">
      <c r="C47" s="347"/>
      <c r="D47" s="347"/>
      <c r="E47" s="347"/>
      <c r="R47" s="125"/>
    </row>
    <row r="48" spans="1:19" ht="16.8" x14ac:dyDescent="0.4">
      <c r="C48" s="347"/>
      <c r="D48" s="347"/>
      <c r="E48" s="347"/>
      <c r="R48" s="125"/>
    </row>
    <row r="49" spans="2:18" ht="16.8" x14ac:dyDescent="0.4">
      <c r="C49" s="347"/>
      <c r="D49" s="347"/>
      <c r="E49" s="347"/>
      <c r="R49" s="125"/>
    </row>
    <row r="50" spans="2:18" ht="16.8" x14ac:dyDescent="0.4">
      <c r="C50" s="347"/>
      <c r="D50" s="347"/>
      <c r="E50" s="347"/>
      <c r="R50" s="125"/>
    </row>
    <row r="52" spans="2:18" ht="15" x14ac:dyDescent="0.3">
      <c r="B52" s="354" t="s">
        <v>357</v>
      </c>
      <c r="C52" s="314"/>
      <c r="D52" s="314"/>
      <c r="E52" s="354" t="s">
        <v>358</v>
      </c>
    </row>
    <row r="53" spans="2:18" x14ac:dyDescent="0.3">
      <c r="B53" s="355">
        <v>1</v>
      </c>
      <c r="C53" s="314"/>
      <c r="D53" s="314"/>
      <c r="E53" s="355">
        <v>1</v>
      </c>
    </row>
    <row r="54" spans="2:18" x14ac:dyDescent="0.3">
      <c r="B54" s="356">
        <v>2</v>
      </c>
      <c r="C54" s="314"/>
      <c r="D54" s="314"/>
      <c r="E54" s="357">
        <v>2</v>
      </c>
    </row>
    <row r="55" spans="2:18" x14ac:dyDescent="0.3">
      <c r="B55" s="358">
        <v>3</v>
      </c>
      <c r="C55" s="314"/>
      <c r="D55" s="314"/>
      <c r="E55" s="358">
        <v>3</v>
      </c>
    </row>
  </sheetData>
  <sheetProtection selectLockedCells="1"/>
  <dataValidations count="1">
    <dataValidation type="whole" sqref="Q13:Q20" xr:uid="{00000000-0002-0000-0600-000000000000}">
      <formula1>0</formula1>
      <formula2>1</formula2>
    </dataValidation>
  </dataValidations>
  <pageMargins left="0.75" right="0.75" top="1" bottom="1" header="0.511811023622047" footer="0.511811023622047"/>
  <pageSetup paperSize="9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75"/>
  <sheetViews>
    <sheetView showGridLines="0" tabSelected="1" zoomScaleNormal="100" workbookViewId="0">
      <pane ySplit="1" topLeftCell="A2" activePane="bottomLeft" state="frozen"/>
      <selection pane="bottomLeft" activeCell="F72" sqref="F72"/>
    </sheetView>
  </sheetViews>
  <sheetFormatPr defaultColWidth="8.6640625" defaultRowHeight="16.8" outlineLevelRow="1" outlineLevelCol="1" x14ac:dyDescent="0.4"/>
  <cols>
    <col min="1" max="1" width="5.6640625" style="316" customWidth="1"/>
    <col min="2" max="2" width="65.109375" style="125" bestFit="1" customWidth="1"/>
    <col min="3" max="3" width="10" style="229" customWidth="1"/>
    <col min="4" max="9" width="12" style="125" customWidth="1"/>
    <col min="10" max="10" width="8.21875" style="125" customWidth="1"/>
    <col min="11" max="11" width="29.5546875" style="146" hidden="1" customWidth="1" outlineLevel="1"/>
    <col min="12" max="12" width="8.6640625" style="125" hidden="1" customWidth="1" outlineLevel="1"/>
    <col min="13" max="13" width="8.6640625" style="125" collapsed="1"/>
    <col min="14" max="16384" width="8.6640625" style="125"/>
  </cols>
  <sheetData>
    <row r="1" spans="1:11" ht="56.4" customHeight="1" x14ac:dyDescent="0.4">
      <c r="B1" s="126"/>
      <c r="C1" s="127"/>
      <c r="D1" s="126"/>
      <c r="E1" s="126"/>
      <c r="F1" s="126"/>
      <c r="G1" s="126"/>
      <c r="H1" s="126"/>
      <c r="I1" s="126"/>
      <c r="K1" s="128" t="s">
        <v>389</v>
      </c>
    </row>
    <row r="3" spans="1:11" x14ac:dyDescent="0.4">
      <c r="A3" s="316" t="s">
        <v>328</v>
      </c>
      <c r="B3" s="129" t="s">
        <v>329</v>
      </c>
      <c r="C3" s="228"/>
      <c r="D3" s="130"/>
      <c r="E3" s="130"/>
      <c r="F3" s="130"/>
      <c r="G3" s="130"/>
      <c r="H3" s="130"/>
      <c r="I3" s="130"/>
    </row>
    <row r="4" spans="1:11" outlineLevel="1" x14ac:dyDescent="0.4"/>
    <row r="5" spans="1:11" outlineLevel="1" x14ac:dyDescent="0.4"/>
    <row r="6" spans="1:11" ht="17.399999999999999" outlineLevel="1" thickBot="1" x14ac:dyDescent="0.45">
      <c r="B6" s="230" t="s">
        <v>324</v>
      </c>
      <c r="C6" s="231"/>
      <c r="D6" s="232">
        <f>E6-1</f>
        <v>2023</v>
      </c>
      <c r="E6" s="232">
        <f>F6-1</f>
        <v>2024</v>
      </c>
      <c r="F6" s="232">
        <v>2025</v>
      </c>
      <c r="G6" s="233">
        <f>F6+1</f>
        <v>2026</v>
      </c>
      <c r="H6" s="233">
        <f t="shared" ref="H6:I6" si="0">G6+1</f>
        <v>2027</v>
      </c>
      <c r="I6" s="233">
        <f t="shared" si="0"/>
        <v>2028</v>
      </c>
      <c r="K6" s="234" t="s">
        <v>164</v>
      </c>
    </row>
    <row r="7" spans="1:11" ht="17.399999999999999" outlineLevel="1" thickTop="1" x14ac:dyDescent="0.4">
      <c r="B7" s="230" t="s">
        <v>325</v>
      </c>
      <c r="C7" s="231"/>
      <c r="D7" s="236"/>
      <c r="E7" s="236"/>
      <c r="F7" s="236"/>
      <c r="G7" s="237"/>
      <c r="H7" s="237"/>
      <c r="I7" s="237"/>
      <c r="K7" s="234"/>
    </row>
    <row r="8" spans="1:11" outlineLevel="1" x14ac:dyDescent="0.4">
      <c r="B8" s="235"/>
      <c r="C8" s="231"/>
      <c r="D8" s="236"/>
      <c r="E8" s="236"/>
      <c r="F8" s="236"/>
      <c r="G8" s="237"/>
      <c r="H8" s="237"/>
      <c r="I8" s="237"/>
      <c r="K8" s="234"/>
    </row>
    <row r="9" spans="1:11" outlineLevel="1" x14ac:dyDescent="0.4">
      <c r="B9" s="231" t="s">
        <v>254</v>
      </c>
      <c r="C9" s="238"/>
      <c r="D9" s="311">
        <v>92998</v>
      </c>
      <c r="E9" s="311">
        <v>91354</v>
      </c>
      <c r="F9" s="311">
        <v>89490</v>
      </c>
      <c r="G9" s="311">
        <v>89937.45</v>
      </c>
      <c r="H9" s="311">
        <v>91286.511700000003</v>
      </c>
      <c r="I9" s="311">
        <v>91742.944300000003</v>
      </c>
      <c r="K9" s="378" t="s">
        <v>413</v>
      </c>
    </row>
    <row r="10" spans="1:11" outlineLevel="1" x14ac:dyDescent="0.4">
      <c r="B10" s="231" t="s">
        <v>270</v>
      </c>
      <c r="C10" s="238" t="s">
        <v>271</v>
      </c>
      <c r="D10" s="239"/>
      <c r="E10" s="239">
        <f>E9/D9-1</f>
        <v>-1.7677799522570425E-2</v>
      </c>
      <c r="F10" s="239">
        <f>F9/E9-1</f>
        <v>-2.0404142128423453E-2</v>
      </c>
      <c r="G10" s="239">
        <f>G9/F9-1</f>
        <v>4.9999999999998934E-3</v>
      </c>
      <c r="H10" s="239">
        <f>H9/G9-1</f>
        <v>1.4999999444058165E-2</v>
      </c>
      <c r="I10" s="239">
        <f>I9/H9-1</f>
        <v>5.0000004546126853E-3</v>
      </c>
      <c r="K10" s="378"/>
    </row>
    <row r="11" spans="1:11" outlineLevel="1" x14ac:dyDescent="0.4">
      <c r="B11" s="231" t="s">
        <v>272</v>
      </c>
      <c r="C11" s="238"/>
      <c r="D11" s="311">
        <v>14063</v>
      </c>
      <c r="E11" s="311">
        <v>14724</v>
      </c>
      <c r="F11" s="311">
        <v>12277</v>
      </c>
      <c r="G11" s="311">
        <v>12383.4512</v>
      </c>
      <c r="H11" s="311">
        <v>12834.1916</v>
      </c>
      <c r="I11" s="311">
        <v>12686.430399999999</v>
      </c>
      <c r="K11" s="378" t="s">
        <v>414</v>
      </c>
    </row>
    <row r="12" spans="1:11" outlineLevel="1" x14ac:dyDescent="0.4">
      <c r="B12" s="231" t="s">
        <v>273</v>
      </c>
      <c r="C12" s="238"/>
      <c r="D12" s="311">
        <v>3458</v>
      </c>
      <c r="E12" s="311">
        <v>3582</v>
      </c>
      <c r="F12" s="311">
        <v>3633</v>
      </c>
      <c r="G12" s="311">
        <v>3445.54</v>
      </c>
      <c r="H12" s="381">
        <v>3487.4769999999999</v>
      </c>
      <c r="I12" s="381">
        <v>3522.5745000000002</v>
      </c>
      <c r="K12" s="378" t="s">
        <v>415</v>
      </c>
    </row>
    <row r="13" spans="1:11" outlineLevel="1" x14ac:dyDescent="0.4">
      <c r="B13" s="240" t="s">
        <v>274</v>
      </c>
      <c r="C13" s="238"/>
      <c r="D13" s="241">
        <f>D11+D12</f>
        <v>17521</v>
      </c>
      <c r="E13" s="241">
        <f t="shared" ref="E13:I13" si="1">E11+E12</f>
        <v>18306</v>
      </c>
      <c r="F13" s="241">
        <f t="shared" si="1"/>
        <v>15910</v>
      </c>
      <c r="G13" s="241">
        <f t="shared" si="1"/>
        <v>15828.9912</v>
      </c>
      <c r="H13" s="241">
        <f t="shared" si="1"/>
        <v>16321.668600000001</v>
      </c>
      <c r="I13" s="241">
        <f t="shared" si="1"/>
        <v>16209.0049</v>
      </c>
      <c r="K13" s="378"/>
    </row>
    <row r="14" spans="1:11" ht="7.8" customHeight="1" outlineLevel="1" x14ac:dyDescent="0.4">
      <c r="B14" s="231"/>
      <c r="C14" s="238"/>
      <c r="D14" s="241"/>
      <c r="E14" s="241"/>
      <c r="F14" s="241"/>
      <c r="G14" s="241"/>
      <c r="H14" s="241"/>
      <c r="I14" s="241"/>
      <c r="K14" s="378"/>
    </row>
    <row r="15" spans="1:11" outlineLevel="1" x14ac:dyDescent="0.4">
      <c r="B15" s="231" t="s">
        <v>275</v>
      </c>
      <c r="C15" s="238"/>
      <c r="D15" s="311">
        <v>132</v>
      </c>
      <c r="E15" s="311">
        <v>124</v>
      </c>
      <c r="F15" s="311">
        <v>135</v>
      </c>
      <c r="G15" s="311">
        <v>125.91240000000001</v>
      </c>
      <c r="H15" s="311">
        <v>127.80110000000001</v>
      </c>
      <c r="I15" s="311">
        <v>119.2658</v>
      </c>
      <c r="K15" s="378" t="s">
        <v>416</v>
      </c>
    </row>
    <row r="16" spans="1:11" outlineLevel="1" x14ac:dyDescent="0.4">
      <c r="B16" s="231" t="s">
        <v>276</v>
      </c>
      <c r="C16" s="238"/>
      <c r="D16" s="311">
        <v>-1665</v>
      </c>
      <c r="E16" s="311">
        <v>-1195</v>
      </c>
      <c r="F16" s="311">
        <v>-1849</v>
      </c>
      <c r="G16" s="311">
        <v>-2158.4987999999998</v>
      </c>
      <c r="H16" s="311">
        <v>-1734.4437</v>
      </c>
      <c r="I16" s="311">
        <v>-1376.1442</v>
      </c>
      <c r="K16" s="378" t="s">
        <v>417</v>
      </c>
    </row>
    <row r="17" spans="2:11" outlineLevel="1" x14ac:dyDescent="0.4">
      <c r="B17" s="231" t="s">
        <v>277</v>
      </c>
      <c r="C17" s="238"/>
      <c r="D17" s="311">
        <v>298</v>
      </c>
      <c r="E17" s="311">
        <v>474</v>
      </c>
      <c r="F17" s="311">
        <v>253</v>
      </c>
      <c r="G17" s="311">
        <v>269.81229999999999</v>
      </c>
      <c r="H17" s="311">
        <v>255.60220000000001</v>
      </c>
      <c r="I17" s="311">
        <v>247.70590000000001</v>
      </c>
      <c r="K17" s="378" t="s">
        <v>417</v>
      </c>
    </row>
    <row r="18" spans="2:11" outlineLevel="1" x14ac:dyDescent="0.4">
      <c r="B18" s="231" t="s">
        <v>278</v>
      </c>
      <c r="C18" s="238"/>
      <c r="D18" s="311">
        <v>-755</v>
      </c>
      <c r="E18" s="311">
        <v>-383</v>
      </c>
      <c r="F18" s="311">
        <v>-651</v>
      </c>
      <c r="G18" s="311">
        <v>-539.62469999999996</v>
      </c>
      <c r="H18" s="311">
        <v>-502.07580000000002</v>
      </c>
      <c r="I18" s="311">
        <v>-477.06330000000003</v>
      </c>
      <c r="K18" s="378" t="s">
        <v>417</v>
      </c>
    </row>
    <row r="19" spans="2:11" outlineLevel="1" x14ac:dyDescent="0.4">
      <c r="B19" s="231" t="s">
        <v>326</v>
      </c>
      <c r="C19" s="238"/>
      <c r="D19" s="241">
        <f>SUM(D15:D18)</f>
        <v>-1990</v>
      </c>
      <c r="E19" s="241">
        <f t="shared" ref="E19:H19" si="2">SUM(E15:E18)</f>
        <v>-980</v>
      </c>
      <c r="F19" s="241">
        <f t="shared" si="2"/>
        <v>-2112</v>
      </c>
      <c r="G19" s="241">
        <f t="shared" si="2"/>
        <v>-2302.3987999999999</v>
      </c>
      <c r="H19" s="241">
        <f t="shared" si="2"/>
        <v>-1853.1162000000002</v>
      </c>
      <c r="I19" s="241">
        <f>SUM(I15:I18)</f>
        <v>-1486.2357999999999</v>
      </c>
      <c r="K19" s="378" t="s">
        <v>279</v>
      </c>
    </row>
    <row r="20" spans="2:11" outlineLevel="1" x14ac:dyDescent="0.4">
      <c r="B20" s="240" t="s">
        <v>327</v>
      </c>
      <c r="C20" s="238"/>
      <c r="D20" s="242">
        <f t="shared" ref="D20:H20" si="3">D11-D19</f>
        <v>16053</v>
      </c>
      <c r="E20" s="242">
        <f t="shared" si="3"/>
        <v>15704</v>
      </c>
      <c r="F20" s="242">
        <f t="shared" si="3"/>
        <v>14389</v>
      </c>
      <c r="G20" s="242">
        <f t="shared" si="3"/>
        <v>14685.849999999999</v>
      </c>
      <c r="H20" s="242">
        <f t="shared" si="3"/>
        <v>14687.3078</v>
      </c>
      <c r="I20" s="242">
        <f>I11-I19</f>
        <v>14172.6662</v>
      </c>
      <c r="K20" s="378" t="s">
        <v>280</v>
      </c>
    </row>
    <row r="21" spans="2:11" ht="10.199999999999999" customHeight="1" outlineLevel="1" x14ac:dyDescent="0.4">
      <c r="B21" s="240"/>
      <c r="C21" s="238"/>
      <c r="D21" s="242"/>
      <c r="E21" s="242"/>
      <c r="F21" s="242"/>
      <c r="G21" s="242"/>
      <c r="H21" s="242"/>
      <c r="I21" s="242"/>
      <c r="K21" s="378"/>
    </row>
    <row r="22" spans="2:11" outlineLevel="1" x14ac:dyDescent="0.4">
      <c r="B22" s="243" t="s">
        <v>281</v>
      </c>
      <c r="C22" s="244"/>
      <c r="D22" s="245">
        <f t="shared" ref="D22:I22" si="4">D20+D12</f>
        <v>19511</v>
      </c>
      <c r="E22" s="245">
        <f t="shared" si="4"/>
        <v>19286</v>
      </c>
      <c r="F22" s="245">
        <f t="shared" si="4"/>
        <v>18022</v>
      </c>
      <c r="G22" s="245">
        <f t="shared" si="4"/>
        <v>18131.39</v>
      </c>
      <c r="H22" s="245">
        <f t="shared" si="4"/>
        <v>18174.784800000001</v>
      </c>
      <c r="I22" s="245">
        <f t="shared" si="4"/>
        <v>17695.240699999998</v>
      </c>
      <c r="K22" s="378" t="s">
        <v>282</v>
      </c>
    </row>
    <row r="23" spans="2:11" outlineLevel="1" x14ac:dyDescent="0.4">
      <c r="B23" s="231" t="s">
        <v>283</v>
      </c>
      <c r="C23" s="238" t="s">
        <v>271</v>
      </c>
      <c r="D23" s="239">
        <f t="shared" ref="D23:I23" si="5">D22/D9</f>
        <v>0.20980021075722058</v>
      </c>
      <c r="E23" s="239">
        <f t="shared" si="5"/>
        <v>0.21111281388882808</v>
      </c>
      <c r="F23" s="239">
        <f t="shared" si="5"/>
        <v>0.20138562967929377</v>
      </c>
      <c r="G23" s="239">
        <f t="shared" si="5"/>
        <v>0.20160000088950711</v>
      </c>
      <c r="H23" s="239">
        <f t="shared" si="5"/>
        <v>0.1990960598837298</v>
      </c>
      <c r="I23" s="239">
        <f t="shared" si="5"/>
        <v>0.19287849147435743</v>
      </c>
      <c r="K23" s="378"/>
    </row>
    <row r="24" spans="2:11" outlineLevel="1" x14ac:dyDescent="0.4">
      <c r="B24" s="231" t="s">
        <v>284</v>
      </c>
      <c r="C24" s="238" t="s">
        <v>271</v>
      </c>
      <c r="D24" s="239">
        <f t="shared" ref="D24:I24" si="6">D20/D9</f>
        <v>0.17261661541108411</v>
      </c>
      <c r="E24" s="239">
        <f t="shared" si="6"/>
        <v>0.17190270814633185</v>
      </c>
      <c r="F24" s="239">
        <f t="shared" si="6"/>
        <v>0.16078891496256564</v>
      </c>
      <c r="G24" s="239">
        <f t="shared" si="6"/>
        <v>0.16328959738129109</v>
      </c>
      <c r="H24" s="239">
        <f t="shared" si="6"/>
        <v>0.16089242021064104</v>
      </c>
      <c r="I24" s="239">
        <f t="shared" si="6"/>
        <v>0.15448235619793596</v>
      </c>
      <c r="K24" s="378"/>
    </row>
    <row r="25" spans="2:11" outlineLevel="1" x14ac:dyDescent="0.4">
      <c r="B25" s="231" t="s">
        <v>285</v>
      </c>
      <c r="C25" s="238"/>
      <c r="D25" s="311">
        <v>11209</v>
      </c>
      <c r="E25" s="311">
        <v>10884</v>
      </c>
      <c r="F25" s="311">
        <v>9033</v>
      </c>
      <c r="G25" s="381">
        <v>9249.1740000000009</v>
      </c>
      <c r="H25" s="381">
        <v>9649.4359000000004</v>
      </c>
      <c r="I25" s="381">
        <v>9609.4927000000007</v>
      </c>
      <c r="K25" s="378" t="s">
        <v>418</v>
      </c>
    </row>
    <row r="26" spans="2:11" outlineLevel="1" x14ac:dyDescent="0.4">
      <c r="B26" s="240" t="s">
        <v>286</v>
      </c>
      <c r="C26" s="238"/>
      <c r="D26" s="242">
        <f t="shared" ref="D26:I26" si="7">D25-D19*(1-$D$55)</f>
        <v>12731.35</v>
      </c>
      <c r="E26" s="242">
        <f t="shared" si="7"/>
        <v>11633.7</v>
      </c>
      <c r="F26" s="242">
        <f t="shared" si="7"/>
        <v>10648.68</v>
      </c>
      <c r="G26" s="242">
        <f t="shared" si="7"/>
        <v>11010.509082</v>
      </c>
      <c r="H26" s="242">
        <f t="shared" si="7"/>
        <v>11067.069793000001</v>
      </c>
      <c r="I26" s="242">
        <f t="shared" si="7"/>
        <v>10746.463087</v>
      </c>
      <c r="K26" s="378" t="s">
        <v>287</v>
      </c>
    </row>
    <row r="27" spans="2:11" outlineLevel="1" x14ac:dyDescent="0.4">
      <c r="B27" s="231" t="s">
        <v>288</v>
      </c>
      <c r="C27" s="238"/>
      <c r="D27" s="311">
        <v>1120</v>
      </c>
      <c r="E27" s="311">
        <v>1249</v>
      </c>
      <c r="F27" s="311">
        <v>1143</v>
      </c>
      <c r="G27" s="311">
        <v>1177.29</v>
      </c>
      <c r="H27" s="311">
        <v>1224.3815999999999</v>
      </c>
      <c r="I27" s="311">
        <v>1273.3569</v>
      </c>
      <c r="K27" s="378" t="s">
        <v>419</v>
      </c>
    </row>
    <row r="28" spans="2:11" outlineLevel="1" x14ac:dyDescent="0.4">
      <c r="B28" s="231" t="s">
        <v>289</v>
      </c>
      <c r="C28" s="238"/>
      <c r="D28" s="241">
        <f>D26-D27</f>
        <v>11611.35</v>
      </c>
      <c r="E28" s="241">
        <f t="shared" ref="E28:I28" si="8">E26-E27</f>
        <v>10384.700000000001</v>
      </c>
      <c r="F28" s="241">
        <f t="shared" si="8"/>
        <v>9505.68</v>
      </c>
      <c r="G28" s="241">
        <f t="shared" si="8"/>
        <v>9833.2190819999996</v>
      </c>
      <c r="H28" s="241">
        <f t="shared" si="8"/>
        <v>9842.688193</v>
      </c>
      <c r="I28" s="241">
        <f t="shared" si="8"/>
        <v>9473.1061869999994</v>
      </c>
      <c r="K28" s="378" t="s">
        <v>290</v>
      </c>
    </row>
    <row r="29" spans="2:11" outlineLevel="1" x14ac:dyDescent="0.4">
      <c r="B29" s="231" t="s">
        <v>49</v>
      </c>
      <c r="C29" s="238" t="s">
        <v>50</v>
      </c>
      <c r="D29" s="241">
        <f t="shared" ref="D29:I29" si="9">$D$42</f>
        <v>2573</v>
      </c>
      <c r="E29" s="241">
        <f t="shared" si="9"/>
        <v>2573</v>
      </c>
      <c r="F29" s="241">
        <f t="shared" si="9"/>
        <v>2573</v>
      </c>
      <c r="G29" s="241">
        <f t="shared" si="9"/>
        <v>2573</v>
      </c>
      <c r="H29" s="241">
        <f t="shared" si="9"/>
        <v>2573</v>
      </c>
      <c r="I29" s="241">
        <f t="shared" si="9"/>
        <v>2573</v>
      </c>
      <c r="K29" s="378" t="s">
        <v>420</v>
      </c>
    </row>
    <row r="30" spans="2:11" outlineLevel="1" x14ac:dyDescent="0.4">
      <c r="B30" s="231" t="s">
        <v>291</v>
      </c>
      <c r="C30" s="238" t="s">
        <v>48</v>
      </c>
      <c r="D30" s="246">
        <f>D25/D29</f>
        <v>4.3563933151962688</v>
      </c>
      <c r="E30" s="246">
        <f t="shared" ref="E30:I30" si="10">E25/E29</f>
        <v>4.2300816167897395</v>
      </c>
      <c r="F30" s="246">
        <f t="shared" si="10"/>
        <v>3.5106879129420911</v>
      </c>
      <c r="G30" s="246">
        <f t="shared" si="10"/>
        <v>3.5947042363000392</v>
      </c>
      <c r="H30" s="246">
        <f t="shared" si="10"/>
        <v>3.7502665759813447</v>
      </c>
      <c r="I30" s="246">
        <f t="shared" si="10"/>
        <v>3.7347425961912166</v>
      </c>
      <c r="K30" s="378"/>
    </row>
    <row r="31" spans="2:11" ht="7.8" customHeight="1" outlineLevel="1" x14ac:dyDescent="0.4">
      <c r="B31" s="231"/>
      <c r="C31" s="238"/>
      <c r="D31" s="246"/>
      <c r="E31" s="246"/>
      <c r="F31" s="246"/>
      <c r="G31" s="246"/>
      <c r="H31" s="246"/>
      <c r="I31" s="246"/>
      <c r="K31" s="378"/>
    </row>
    <row r="32" spans="2:11" outlineLevel="1" x14ac:dyDescent="0.4">
      <c r="B32" s="243" t="s">
        <v>292</v>
      </c>
      <c r="C32" s="244" t="s">
        <v>48</v>
      </c>
      <c r="D32" s="247">
        <f>D26/D29</f>
        <v>4.9480567431014384</v>
      </c>
      <c r="E32" s="247">
        <f t="shared" ref="E32:I32" si="11">E26/E29</f>
        <v>4.5214535561601243</v>
      </c>
      <c r="F32" s="247">
        <f t="shared" si="11"/>
        <v>4.1386241741158178</v>
      </c>
      <c r="G32" s="247">
        <f t="shared" si="11"/>
        <v>4.2792495460551887</v>
      </c>
      <c r="H32" s="247">
        <f t="shared" si="11"/>
        <v>4.3012319444228533</v>
      </c>
      <c r="I32" s="247">
        <f t="shared" si="11"/>
        <v>4.1766277057909056</v>
      </c>
      <c r="K32" s="378" t="s">
        <v>293</v>
      </c>
    </row>
    <row r="33" spans="1:11" outlineLevel="1" x14ac:dyDescent="0.4">
      <c r="B33" s="231" t="s">
        <v>294</v>
      </c>
      <c r="C33" s="238" t="s">
        <v>48</v>
      </c>
      <c r="D33" s="246">
        <f>D28/D29</f>
        <v>4.5127671978235524</v>
      </c>
      <c r="E33" s="246">
        <f t="shared" ref="E33:I33" si="12">E28/E29</f>
        <v>4.0360279828993395</v>
      </c>
      <c r="F33" s="246">
        <f t="shared" si="12"/>
        <v>3.6943956471045474</v>
      </c>
      <c r="G33" s="246">
        <f t="shared" si="12"/>
        <v>3.8216941632335795</v>
      </c>
      <c r="H33" s="246">
        <f t="shared" si="12"/>
        <v>3.8253743462883794</v>
      </c>
      <c r="I33" s="246">
        <f t="shared" si="12"/>
        <v>3.6817357897396032</v>
      </c>
      <c r="K33" s="379"/>
    </row>
    <row r="34" spans="1:11" outlineLevel="1" x14ac:dyDescent="0.4">
      <c r="B34" s="231" t="s">
        <v>295</v>
      </c>
      <c r="C34" s="238" t="s">
        <v>271</v>
      </c>
      <c r="D34" s="239"/>
      <c r="E34" s="239">
        <f>E32/D32-1</f>
        <v>-8.6216308561150257E-2</v>
      </c>
      <c r="F34" s="239">
        <f>F32/E32-1</f>
        <v>-8.4669537636349657E-2</v>
      </c>
      <c r="G34" s="239">
        <f>G32/F32-1</f>
        <v>3.3978773143713781E-2</v>
      </c>
      <c r="H34" s="239">
        <f>H32/G32-1</f>
        <v>5.1369751006760112E-3</v>
      </c>
      <c r="I34" s="239">
        <f>I32/H32-1</f>
        <v>-2.8969430210224911E-2</v>
      </c>
      <c r="K34" s="379"/>
    </row>
    <row r="35" spans="1:11" outlineLevel="1" x14ac:dyDescent="0.4">
      <c r="B35" s="151"/>
      <c r="C35" s="248"/>
      <c r="D35" s="151"/>
      <c r="E35" s="151"/>
      <c r="F35" s="151"/>
      <c r="G35" s="151"/>
      <c r="H35" s="151"/>
      <c r="I35" s="151"/>
      <c r="K35" s="379"/>
    </row>
    <row r="36" spans="1:11" x14ac:dyDescent="0.4">
      <c r="K36" s="379"/>
    </row>
    <row r="37" spans="1:11" x14ac:dyDescent="0.4">
      <c r="A37" s="316" t="s">
        <v>328</v>
      </c>
      <c r="B37" s="129" t="s">
        <v>296</v>
      </c>
      <c r="C37" s="228"/>
      <c r="D37" s="130"/>
      <c r="E37" s="130"/>
      <c r="F37" s="130"/>
      <c r="G37" s="130"/>
      <c r="H37" s="130"/>
      <c r="I37" s="130"/>
      <c r="K37" s="379"/>
    </row>
    <row r="38" spans="1:11" outlineLevel="1" x14ac:dyDescent="0.4">
      <c r="C38" s="125"/>
      <c r="K38" s="138"/>
    </row>
    <row r="39" spans="1:11" outlineLevel="1" x14ac:dyDescent="0.4">
      <c r="C39" s="125"/>
      <c r="K39" s="138"/>
    </row>
    <row r="40" spans="1:11" outlineLevel="1" x14ac:dyDescent="0.4">
      <c r="B40" s="240"/>
      <c r="C40" s="240" t="s">
        <v>46</v>
      </c>
      <c r="D40" s="240" t="s">
        <v>47</v>
      </c>
      <c r="E40" s="231"/>
      <c r="F40" s="231"/>
      <c r="G40" s="231"/>
      <c r="H40" s="231"/>
      <c r="I40" s="231"/>
      <c r="K40" s="138"/>
    </row>
    <row r="41" spans="1:11" outlineLevel="1" x14ac:dyDescent="0.4">
      <c r="B41" s="382" t="s">
        <v>421</v>
      </c>
      <c r="C41" s="383" t="s">
        <v>48</v>
      </c>
      <c r="D41" s="317">
        <v>74.63</v>
      </c>
      <c r="K41" s="378" t="s">
        <v>422</v>
      </c>
    </row>
    <row r="42" spans="1:11" outlineLevel="1" x14ac:dyDescent="0.4">
      <c r="B42" s="382" t="s">
        <v>297</v>
      </c>
      <c r="C42" s="383" t="s">
        <v>50</v>
      </c>
      <c r="D42" s="318">
        <v>2573</v>
      </c>
      <c r="K42" s="378" t="s">
        <v>423</v>
      </c>
    </row>
    <row r="43" spans="1:11" outlineLevel="1" x14ac:dyDescent="0.4">
      <c r="B43" s="382" t="s">
        <v>298</v>
      </c>
      <c r="C43" s="383"/>
      <c r="D43" s="384">
        <f>D41*D42</f>
        <v>192022.99</v>
      </c>
      <c r="K43" s="380"/>
    </row>
    <row r="44" spans="1:11" outlineLevel="1" x14ac:dyDescent="0.4">
      <c r="B44" s="382" t="s">
        <v>299</v>
      </c>
      <c r="C44" s="383"/>
      <c r="D44" s="319">
        <v>56344</v>
      </c>
      <c r="K44" s="378" t="s">
        <v>424</v>
      </c>
    </row>
    <row r="45" spans="1:11" outlineLevel="1" x14ac:dyDescent="0.4">
      <c r="B45" s="382" t="s">
        <v>300</v>
      </c>
      <c r="C45" s="383"/>
      <c r="D45" s="320">
        <v>248</v>
      </c>
      <c r="K45" s="378" t="s">
        <v>425</v>
      </c>
    </row>
    <row r="46" spans="1:11" outlineLevel="1" x14ac:dyDescent="0.4">
      <c r="B46" s="382" t="s">
        <v>301</v>
      </c>
      <c r="C46" s="383"/>
      <c r="D46" s="320">
        <v>887</v>
      </c>
      <c r="K46" s="378" t="s">
        <v>426</v>
      </c>
    </row>
    <row r="47" spans="1:11" outlineLevel="1" x14ac:dyDescent="0.4">
      <c r="B47" s="382" t="s">
        <v>302</v>
      </c>
      <c r="C47" s="383" t="s">
        <v>271</v>
      </c>
      <c r="D47" s="321">
        <v>0.20100000000000001</v>
      </c>
      <c r="K47" s="378" t="s">
        <v>427</v>
      </c>
    </row>
    <row r="48" spans="1:11" outlineLevel="1" x14ac:dyDescent="0.4">
      <c r="B48" s="382" t="s">
        <v>303</v>
      </c>
      <c r="C48" s="383" t="s">
        <v>304</v>
      </c>
      <c r="D48" s="320">
        <v>198430</v>
      </c>
      <c r="K48" s="380" t="s">
        <v>428</v>
      </c>
    </row>
    <row r="49" spans="1:11" outlineLevel="1" x14ac:dyDescent="0.4">
      <c r="B49" s="382" t="s">
        <v>305</v>
      </c>
      <c r="C49" s="383" t="s">
        <v>306</v>
      </c>
      <c r="D49" s="322">
        <v>0.93</v>
      </c>
      <c r="K49" s="380" t="s">
        <v>429</v>
      </c>
    </row>
    <row r="50" spans="1:11" outlineLevel="1" x14ac:dyDescent="0.4">
      <c r="B50" s="382" t="s">
        <v>307</v>
      </c>
      <c r="C50" s="383" t="s">
        <v>271</v>
      </c>
      <c r="D50" s="323">
        <v>0</v>
      </c>
      <c r="K50" s="380" t="s">
        <v>430</v>
      </c>
    </row>
    <row r="51" spans="1:11" outlineLevel="1" x14ac:dyDescent="0.4">
      <c r="B51" s="382" t="s">
        <v>308</v>
      </c>
      <c r="C51" s="383"/>
      <c r="D51" s="384">
        <f>D47*D48*D49*(1-D50)</f>
        <v>37092.519899999999</v>
      </c>
      <c r="K51" s="378" t="s">
        <v>309</v>
      </c>
    </row>
    <row r="52" spans="1:11" outlineLevel="1" x14ac:dyDescent="0.4">
      <c r="B52" s="385" t="s">
        <v>310</v>
      </c>
      <c r="C52" s="383"/>
      <c r="D52" s="386">
        <f>-D44-D45-D46+D51</f>
        <v>-20386.480100000001</v>
      </c>
      <c r="K52" s="378" t="s">
        <v>431</v>
      </c>
    </row>
    <row r="53" spans="1:11" ht="11.4" customHeight="1" outlineLevel="1" x14ac:dyDescent="0.4">
      <c r="B53" s="385"/>
      <c r="C53" s="383"/>
      <c r="D53" s="386"/>
      <c r="K53" s="378"/>
    </row>
    <row r="54" spans="1:11" outlineLevel="1" x14ac:dyDescent="0.4">
      <c r="B54" s="387" t="s">
        <v>311</v>
      </c>
      <c r="C54" s="388"/>
      <c r="D54" s="389">
        <f>D43-D52</f>
        <v>212409.47009999998</v>
      </c>
      <c r="K54" s="378" t="s">
        <v>312</v>
      </c>
    </row>
    <row r="55" spans="1:11" outlineLevel="1" x14ac:dyDescent="0.4">
      <c r="B55" s="382" t="s">
        <v>313</v>
      </c>
      <c r="C55" s="383" t="s">
        <v>271</v>
      </c>
      <c r="D55" s="324">
        <v>0.23499999999999999</v>
      </c>
      <c r="K55" s="378" t="s">
        <v>432</v>
      </c>
    </row>
    <row r="56" spans="1:11" outlineLevel="1" x14ac:dyDescent="0.4">
      <c r="B56" s="382" t="s">
        <v>314</v>
      </c>
      <c r="C56" s="383" t="s">
        <v>48</v>
      </c>
      <c r="D56" s="325">
        <v>70.290000000000006</v>
      </c>
      <c r="K56" s="378" t="s">
        <v>433</v>
      </c>
    </row>
    <row r="57" spans="1:11" outlineLevel="1" x14ac:dyDescent="0.4">
      <c r="B57" s="382" t="s">
        <v>315</v>
      </c>
      <c r="C57" s="383" t="s">
        <v>48</v>
      </c>
      <c r="D57" s="325">
        <v>87.09</v>
      </c>
      <c r="K57" s="380"/>
    </row>
    <row r="58" spans="1:11" outlineLevel="1" x14ac:dyDescent="0.4">
      <c r="B58" s="382" t="s">
        <v>316</v>
      </c>
      <c r="C58" s="383" t="s">
        <v>48</v>
      </c>
      <c r="D58" s="325">
        <v>69</v>
      </c>
      <c r="K58" s="378" t="s">
        <v>434</v>
      </c>
    </row>
    <row r="59" spans="1:11" outlineLevel="1" x14ac:dyDescent="0.4">
      <c r="B59" s="382" t="s">
        <v>317</v>
      </c>
      <c r="C59" s="383" t="s">
        <v>48</v>
      </c>
      <c r="D59" s="325">
        <v>100</v>
      </c>
      <c r="K59" s="380"/>
    </row>
    <row r="60" spans="1:11" outlineLevel="1" x14ac:dyDescent="0.4">
      <c r="B60" s="382" t="s">
        <v>435</v>
      </c>
      <c r="C60" s="383" t="s">
        <v>48</v>
      </c>
      <c r="D60" s="326">
        <v>88.23</v>
      </c>
      <c r="K60" s="380"/>
    </row>
    <row r="61" spans="1:11" outlineLevel="1" x14ac:dyDescent="0.4">
      <c r="B61" s="249"/>
      <c r="C61" s="250"/>
      <c r="D61" s="251"/>
      <c r="E61" s="151"/>
      <c r="F61" s="151"/>
      <c r="G61" s="151"/>
      <c r="H61" s="151"/>
      <c r="I61" s="151"/>
      <c r="K61" s="380"/>
    </row>
    <row r="62" spans="1:11" x14ac:dyDescent="0.4">
      <c r="K62" s="380"/>
    </row>
    <row r="63" spans="1:11" x14ac:dyDescent="0.4">
      <c r="A63" s="316" t="s">
        <v>328</v>
      </c>
      <c r="B63" s="129" t="s">
        <v>330</v>
      </c>
      <c r="C63" s="228"/>
      <c r="D63" s="130"/>
      <c r="E63" s="130"/>
      <c r="F63" s="130"/>
      <c r="G63" s="130"/>
      <c r="H63" s="130"/>
      <c r="I63" s="130"/>
      <c r="K63" s="380"/>
    </row>
    <row r="64" spans="1:11" outlineLevel="1" x14ac:dyDescent="0.4">
      <c r="K64" s="380"/>
    </row>
    <row r="65" spans="1:11" outlineLevel="1" x14ac:dyDescent="0.4">
      <c r="K65" s="380"/>
    </row>
    <row r="66" spans="1:11" outlineLevel="1" x14ac:dyDescent="0.4">
      <c r="B66" s="231"/>
      <c r="C66" s="240" t="s">
        <v>46</v>
      </c>
      <c r="D66" s="240" t="s">
        <v>19</v>
      </c>
      <c r="E66" s="240" t="s">
        <v>318</v>
      </c>
      <c r="F66" s="240" t="s">
        <v>20</v>
      </c>
      <c r="G66" s="231"/>
      <c r="H66" s="231"/>
      <c r="I66" s="231"/>
      <c r="K66" s="380"/>
    </row>
    <row r="67" spans="1:11" outlineLevel="1" x14ac:dyDescent="0.4">
      <c r="B67" s="231" t="s">
        <v>319</v>
      </c>
      <c r="C67" s="238"/>
      <c r="D67" s="319">
        <v>216776.356583605</v>
      </c>
      <c r="E67" s="319">
        <v>270962.35797276098</v>
      </c>
      <c r="F67" s="319">
        <v>366878.63536317903</v>
      </c>
      <c r="K67" s="378" t="s">
        <v>436</v>
      </c>
    </row>
    <row r="68" spans="1:11" outlineLevel="1" x14ac:dyDescent="0.4">
      <c r="B68" s="231" t="s">
        <v>320</v>
      </c>
      <c r="C68" s="238"/>
      <c r="D68" s="318">
        <v>220347.95163365299</v>
      </c>
      <c r="E68" s="320">
        <v>232364.56755272101</v>
      </c>
      <c r="F68" s="318">
        <v>244901.87160161699</v>
      </c>
      <c r="K68" s="378" t="s">
        <v>437</v>
      </c>
    </row>
    <row r="69" spans="1:11" outlineLevel="1" x14ac:dyDescent="0.4">
      <c r="B69" s="231" t="s">
        <v>321</v>
      </c>
      <c r="D69" s="138"/>
      <c r="E69" s="327">
        <v>5.08657566163404E-2</v>
      </c>
      <c r="F69" s="138"/>
      <c r="K69" s="378" t="s">
        <v>438</v>
      </c>
    </row>
    <row r="70" spans="1:11" outlineLevel="1" x14ac:dyDescent="0.4">
      <c r="B70" s="231" t="s">
        <v>322</v>
      </c>
      <c r="D70" s="138"/>
      <c r="E70" s="321">
        <v>1.4999999999999999E-2</v>
      </c>
      <c r="F70" s="138"/>
      <c r="K70" s="378" t="s">
        <v>439</v>
      </c>
    </row>
    <row r="71" spans="1:11" outlineLevel="1" x14ac:dyDescent="0.4">
      <c r="B71" s="231" t="s">
        <v>323</v>
      </c>
      <c r="D71" s="138"/>
      <c r="E71" s="328">
        <v>13.5</v>
      </c>
      <c r="F71" s="138"/>
      <c r="K71" s="378" t="s">
        <v>440</v>
      </c>
    </row>
    <row r="72" spans="1:11" outlineLevel="1" x14ac:dyDescent="0.4">
      <c r="B72" s="231" t="s">
        <v>331</v>
      </c>
      <c r="C72" s="238" t="s">
        <v>48</v>
      </c>
      <c r="D72" s="390">
        <f>(E67+D52)/D42</f>
        <v>97.386660657893898</v>
      </c>
      <c r="E72" s="326">
        <v>97.39</v>
      </c>
      <c r="F72" s="391">
        <f>IF(ABS(D72-E72)&lt;0.05,0,1)</f>
        <v>0</v>
      </c>
      <c r="K72" s="378" t="s">
        <v>441</v>
      </c>
    </row>
    <row r="73" spans="1:11" outlineLevel="1" x14ac:dyDescent="0.4">
      <c r="K73" s="379"/>
    </row>
    <row r="74" spans="1:11" outlineLevel="1" x14ac:dyDescent="0.4">
      <c r="A74" s="316" t="s">
        <v>328</v>
      </c>
      <c r="B74" s="151"/>
      <c r="C74" s="248"/>
      <c r="D74" s="151"/>
      <c r="E74" s="151"/>
      <c r="F74" s="151"/>
      <c r="G74" s="151"/>
      <c r="H74" s="151"/>
      <c r="I74" s="151"/>
      <c r="K74" s="379"/>
    </row>
    <row r="75" spans="1:11" x14ac:dyDescent="0.4">
      <c r="K75" s="379"/>
    </row>
  </sheetData>
  <sheetProtection selectLockedCells="1"/>
  <pageMargins left="0.75" right="0.75" top="1" bottom="1" header="0.511811023622047" footer="0.511811023622047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Dashboard</vt:lpstr>
      <vt:lpstr>Valuation</vt:lpstr>
      <vt:lpstr>Trading_Comps</vt:lpstr>
      <vt:lpstr>Precedent_Txns</vt:lpstr>
      <vt:lpstr>Peer_Inputs</vt:lpstr>
      <vt:lpstr>Nestle_Inputs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Rivan</dc:creator>
  <dc:description/>
  <cp:lastModifiedBy>Mohammed Rivan</cp:lastModifiedBy>
  <cp:revision>1</cp:revision>
  <dcterms:created xsi:type="dcterms:W3CDTF">2026-09-26T09:25:37Z</dcterms:created>
  <dcterms:modified xsi:type="dcterms:W3CDTF">2026-10-03T09:12:48Z</dcterms:modified>
  <dc:language>en-US</dc:language>
</cp:coreProperties>
</file>