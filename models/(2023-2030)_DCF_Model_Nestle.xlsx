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PERSONAL\5. Work\Portfolio\Nestle\Financial Modeling - One Drive\202610\"/>
    </mc:Choice>
  </mc:AlternateContent>
  <xr:revisionPtr revIDLastSave="0" documentId="13_ncr:1_{BFE09DDD-0AC5-49DC-88B6-0F8DA63CDA82}" xr6:coauthVersionLast="36" xr6:coauthVersionMax="36" xr10:uidLastSave="{00000000-0000-0000-0000-000000000000}"/>
  <workbookProtection workbookAlgorithmName="SHA-512" workbookHashValue="xINTUyj0Wo66xUMryKdGzE76e1fDv7MSHDBvVqGGJGNTRlnTrKAC5ff6ObEgS0GmtohCRUVjDryaiQAX4sQ7KA==" workbookSaltValue="tBjztWe6wGlGZXU3K665dQ==" workbookSpinCount="100000" lockStructure="1"/>
  <bookViews>
    <workbookView xWindow="0" yWindow="0" windowWidth="23040" windowHeight="10284" xr2:uid="{00000000-000D-0000-FFFF-FFFF00000000}"/>
  </bookViews>
  <sheets>
    <sheet name="Cover" sheetId="1" r:id="rId1"/>
    <sheet name="Output" sheetId="2" r:id="rId2"/>
    <sheet name="Input" sheetId="3" r:id="rId3"/>
    <sheet name="Model" sheetId="4" r:id="rId4"/>
  </sheets>
  <definedNames>
    <definedName name="ScenarioSwitch">Input!$D$6</definedName>
  </definedNames>
  <calcPr calcId="191029" iterate="1" iterateDelta="1E-4"/>
</workbook>
</file>

<file path=xl/calcChain.xml><?xml version="1.0" encoding="utf-8"?>
<calcChain xmlns="http://schemas.openxmlformats.org/spreadsheetml/2006/main">
  <c r="O14" i="2" l="1"/>
  <c r="O57" i="2"/>
  <c r="O58" i="2"/>
  <c r="D292" i="4" l="1"/>
  <c r="D38" i="2"/>
  <c r="H575" i="4"/>
  <c r="H577" i="4" s="1"/>
  <c r="G575" i="4"/>
  <c r="G577" i="4" s="1"/>
  <c r="F575" i="4"/>
  <c r="F577" i="4" s="1"/>
  <c r="I573" i="4"/>
  <c r="J573" i="4" s="1"/>
  <c r="K573" i="4" s="1"/>
  <c r="L573" i="4" s="1"/>
  <c r="M573" i="4" s="1"/>
  <c r="I572" i="4"/>
  <c r="J572" i="4" s="1"/>
  <c r="K572" i="4" s="1"/>
  <c r="L572" i="4" s="1"/>
  <c r="M572" i="4" s="1"/>
  <c r="I570" i="4"/>
  <c r="H566" i="4"/>
  <c r="H567" i="4" s="1"/>
  <c r="G566" i="4"/>
  <c r="F566" i="4"/>
  <c r="F567" i="4" s="1"/>
  <c r="I565" i="4"/>
  <c r="J565" i="4" s="1"/>
  <c r="K565" i="4" s="1"/>
  <c r="L565" i="4" s="1"/>
  <c r="M565" i="4" s="1"/>
  <c r="I563" i="4"/>
  <c r="J563" i="4" s="1"/>
  <c r="K563" i="4" s="1"/>
  <c r="L563" i="4" s="1"/>
  <c r="M563" i="4" s="1"/>
  <c r="I562" i="4"/>
  <c r="J562" i="4" s="1"/>
  <c r="K562" i="4" s="1"/>
  <c r="L562" i="4" s="1"/>
  <c r="M562" i="4" s="1"/>
  <c r="I561" i="4"/>
  <c r="J561" i="4" s="1"/>
  <c r="K561" i="4" s="1"/>
  <c r="L561" i="4" s="1"/>
  <c r="M561" i="4" s="1"/>
  <c r="H557" i="4"/>
  <c r="G557" i="4"/>
  <c r="G567" i="4" s="1"/>
  <c r="G578" i="4" s="1"/>
  <c r="F557" i="4"/>
  <c r="I555" i="4"/>
  <c r="J555" i="4" s="1"/>
  <c r="K555" i="4" s="1"/>
  <c r="L555" i="4" s="1"/>
  <c r="M555" i="4" s="1"/>
  <c r="I554" i="4"/>
  <c r="J554" i="4" s="1"/>
  <c r="K554" i="4" s="1"/>
  <c r="L554" i="4" s="1"/>
  <c r="M554" i="4" s="1"/>
  <c r="I553" i="4"/>
  <c r="J553" i="4" s="1"/>
  <c r="K553" i="4" s="1"/>
  <c r="L553" i="4" s="1"/>
  <c r="M553" i="4" s="1"/>
  <c r="I550" i="4"/>
  <c r="J550" i="4" s="1"/>
  <c r="K550" i="4" s="1"/>
  <c r="L550" i="4" s="1"/>
  <c r="M550" i="4" s="1"/>
  <c r="H545" i="4"/>
  <c r="G545" i="4"/>
  <c r="F545" i="4"/>
  <c r="I544" i="4"/>
  <c r="J544" i="4" s="1"/>
  <c r="K544" i="4" s="1"/>
  <c r="L544" i="4" s="1"/>
  <c r="M544" i="4" s="1"/>
  <c r="I543" i="4"/>
  <c r="J543" i="4" s="1"/>
  <c r="K543" i="4" s="1"/>
  <c r="L543" i="4" s="1"/>
  <c r="M543" i="4" s="1"/>
  <c r="I542" i="4"/>
  <c r="J542" i="4" s="1"/>
  <c r="K542" i="4" s="1"/>
  <c r="L542" i="4" s="1"/>
  <c r="M542" i="4" s="1"/>
  <c r="I541" i="4"/>
  <c r="J541" i="4" s="1"/>
  <c r="K541" i="4" s="1"/>
  <c r="L541" i="4" s="1"/>
  <c r="M541" i="4" s="1"/>
  <c r="I533" i="4"/>
  <c r="J533" i="4" s="1"/>
  <c r="K533" i="4" s="1"/>
  <c r="L533" i="4" s="1"/>
  <c r="M533" i="4" s="1"/>
  <c r="I532" i="4"/>
  <c r="J532" i="4" s="1"/>
  <c r="K532" i="4" s="1"/>
  <c r="L532" i="4" s="1"/>
  <c r="M532" i="4" s="1"/>
  <c r="I531" i="4"/>
  <c r="J531" i="4" s="1"/>
  <c r="K531" i="4" s="1"/>
  <c r="L531" i="4" s="1"/>
  <c r="M531" i="4" s="1"/>
  <c r="I527" i="4"/>
  <c r="J527" i="4" s="1"/>
  <c r="K527" i="4" s="1"/>
  <c r="L527" i="4" s="1"/>
  <c r="M527" i="4" s="1"/>
  <c r="B522" i="4"/>
  <c r="H509" i="4"/>
  <c r="G509" i="4"/>
  <c r="F509" i="4"/>
  <c r="H498" i="4"/>
  <c r="G498" i="4"/>
  <c r="F498" i="4"/>
  <c r="H477" i="4"/>
  <c r="H481" i="4" s="1"/>
  <c r="H487" i="4" s="1"/>
  <c r="H512" i="4" s="1"/>
  <c r="H515" i="4" s="1"/>
  <c r="H517" i="4" s="1"/>
  <c r="G477" i="4"/>
  <c r="G481" i="4" s="1"/>
  <c r="G487" i="4" s="1"/>
  <c r="G512" i="4" s="1"/>
  <c r="G515" i="4" s="1"/>
  <c r="G517" i="4" s="1"/>
  <c r="G526" i="4" s="1"/>
  <c r="F477" i="4"/>
  <c r="F481" i="4" s="1"/>
  <c r="F487" i="4" s="1"/>
  <c r="B468" i="4"/>
  <c r="G452" i="4"/>
  <c r="G456" i="4" s="1"/>
  <c r="G460" i="4" s="1"/>
  <c r="G463" i="4" s="1"/>
  <c r="F452" i="4"/>
  <c r="F456" i="4" s="1"/>
  <c r="F460" i="4" s="1"/>
  <c r="F463" i="4" s="1"/>
  <c r="H448" i="4"/>
  <c r="H452" i="4" s="1"/>
  <c r="H456" i="4" s="1"/>
  <c r="H460" i="4" s="1"/>
  <c r="H463" i="4" s="1"/>
  <c r="G448" i="4"/>
  <c r="F448" i="4"/>
  <c r="N437" i="4"/>
  <c r="B437" i="4"/>
  <c r="H432" i="4"/>
  <c r="I430" i="4" s="1"/>
  <c r="H426" i="4"/>
  <c r="I422" i="4" s="1"/>
  <c r="M424" i="4"/>
  <c r="L424" i="4"/>
  <c r="K424" i="4"/>
  <c r="J424" i="4"/>
  <c r="I424" i="4"/>
  <c r="H418" i="4"/>
  <c r="I415" i="4"/>
  <c r="B411" i="4"/>
  <c r="M398" i="4"/>
  <c r="L398" i="4"/>
  <c r="K398" i="4"/>
  <c r="J398" i="4"/>
  <c r="I398" i="4"/>
  <c r="D398" i="4"/>
  <c r="H396" i="4"/>
  <c r="I394" i="4" s="1"/>
  <c r="M389" i="4"/>
  <c r="L389" i="4"/>
  <c r="K389" i="4"/>
  <c r="J389" i="4"/>
  <c r="I389" i="4"/>
  <c r="B381" i="4"/>
  <c r="M375" i="4"/>
  <c r="L375" i="4"/>
  <c r="K375" i="4"/>
  <c r="J375" i="4"/>
  <c r="I375" i="4"/>
  <c r="D375" i="4"/>
  <c r="M370" i="4"/>
  <c r="L370" i="4"/>
  <c r="K370" i="4"/>
  <c r="J370" i="4"/>
  <c r="I370" i="4"/>
  <c r="F368" i="4"/>
  <c r="G366" i="4"/>
  <c r="G367" i="4" s="1"/>
  <c r="G368" i="4" s="1"/>
  <c r="M364" i="4"/>
  <c r="L364" i="4"/>
  <c r="K364" i="4"/>
  <c r="J364" i="4"/>
  <c r="I364" i="4"/>
  <c r="M360" i="4"/>
  <c r="L360" i="4"/>
  <c r="K360" i="4"/>
  <c r="J360" i="4"/>
  <c r="I360" i="4"/>
  <c r="D360" i="4"/>
  <c r="B352" i="4"/>
  <c r="M344" i="4"/>
  <c r="L344" i="4"/>
  <c r="K344" i="4"/>
  <c r="J344" i="4"/>
  <c r="I344" i="4"/>
  <c r="H344" i="4"/>
  <c r="G344" i="4"/>
  <c r="H343" i="4"/>
  <c r="G343" i="4"/>
  <c r="H342" i="4"/>
  <c r="G342" i="4"/>
  <c r="F342" i="4"/>
  <c r="G346" i="4" s="1"/>
  <c r="H341" i="4"/>
  <c r="G341" i="4"/>
  <c r="B338" i="4"/>
  <c r="G329" i="4"/>
  <c r="M328" i="4"/>
  <c r="G327" i="4"/>
  <c r="M326" i="4"/>
  <c r="G326" i="4"/>
  <c r="H315" i="4"/>
  <c r="H308" i="4"/>
  <c r="H301" i="4"/>
  <c r="I292" i="4"/>
  <c r="J292" i="4" s="1"/>
  <c r="J293" i="4" s="1"/>
  <c r="H292" i="4"/>
  <c r="H293" i="4" s="1"/>
  <c r="B289" i="4"/>
  <c r="G281" i="4"/>
  <c r="M280" i="4"/>
  <c r="G279" i="4"/>
  <c r="M278" i="4"/>
  <c r="G278" i="4"/>
  <c r="H267" i="4"/>
  <c r="H260" i="4"/>
  <c r="H253" i="4"/>
  <c r="I245" i="4"/>
  <c r="I244" i="4"/>
  <c r="H244" i="4"/>
  <c r="H245" i="4" s="1"/>
  <c r="B241" i="4"/>
  <c r="N218" i="4"/>
  <c r="G202" i="4"/>
  <c r="N196" i="4"/>
  <c r="B196" i="4"/>
  <c r="H182" i="4"/>
  <c r="I179" i="4" s="1"/>
  <c r="D164" i="4"/>
  <c r="B158" i="4"/>
  <c r="H144" i="4"/>
  <c r="I141" i="4"/>
  <c r="D126" i="4"/>
  <c r="B120" i="4"/>
  <c r="H113" i="4"/>
  <c r="I110" i="4" s="1"/>
  <c r="D107" i="4"/>
  <c r="D106" i="4"/>
  <c r="F103" i="4"/>
  <c r="F97" i="4"/>
  <c r="G93" i="4" s="1"/>
  <c r="N82" i="4"/>
  <c r="M82" i="4"/>
  <c r="L82" i="4"/>
  <c r="K82" i="4"/>
  <c r="J82" i="4"/>
  <c r="I82" i="4"/>
  <c r="N81" i="4"/>
  <c r="M81" i="4"/>
  <c r="L81" i="4"/>
  <c r="K81" i="4"/>
  <c r="J81" i="4"/>
  <c r="I81" i="4"/>
  <c r="H78" i="4"/>
  <c r="H100" i="4" s="1"/>
  <c r="G78" i="4"/>
  <c r="G100" i="4" s="1"/>
  <c r="N77" i="4"/>
  <c r="M77" i="4"/>
  <c r="L77" i="4"/>
  <c r="K77" i="4"/>
  <c r="J77" i="4"/>
  <c r="I77" i="4"/>
  <c r="H77" i="4"/>
  <c r="G77" i="4"/>
  <c r="F77" i="4"/>
  <c r="F78" i="4" s="1"/>
  <c r="H74" i="4"/>
  <c r="H75" i="4" s="1"/>
  <c r="H94" i="4" s="1"/>
  <c r="G74" i="4"/>
  <c r="G75" i="4" s="1"/>
  <c r="G94" i="4" s="1"/>
  <c r="F74" i="4"/>
  <c r="F75" i="4" s="1"/>
  <c r="N70" i="4"/>
  <c r="B70" i="4"/>
  <c r="H64" i="4"/>
  <c r="G64" i="4"/>
  <c r="H63" i="4"/>
  <c r="G63" i="4"/>
  <c r="H62" i="4"/>
  <c r="G62" i="4"/>
  <c r="H61" i="4"/>
  <c r="G61" i="4"/>
  <c r="H60" i="4"/>
  <c r="G60" i="4"/>
  <c r="N49" i="4"/>
  <c r="M49" i="4"/>
  <c r="L49" i="4"/>
  <c r="K49" i="4"/>
  <c r="J49" i="4"/>
  <c r="I49" i="4"/>
  <c r="N48" i="4"/>
  <c r="M48" i="4"/>
  <c r="L48" i="4"/>
  <c r="K48" i="4"/>
  <c r="J48" i="4"/>
  <c r="I48" i="4"/>
  <c r="G47" i="4"/>
  <c r="H42" i="4"/>
  <c r="G42" i="4"/>
  <c r="F42" i="4"/>
  <c r="F47" i="4" s="1"/>
  <c r="H41" i="4"/>
  <c r="G41" i="4"/>
  <c r="F41" i="4"/>
  <c r="N40" i="4"/>
  <c r="M40" i="4"/>
  <c r="L40" i="4"/>
  <c r="K40" i="4"/>
  <c r="J40" i="4"/>
  <c r="I40" i="4"/>
  <c r="H40" i="4"/>
  <c r="H48" i="4" s="1"/>
  <c r="G40" i="4"/>
  <c r="F40" i="4"/>
  <c r="N37" i="4"/>
  <c r="B37" i="4"/>
  <c r="M30" i="4"/>
  <c r="L30" i="4"/>
  <c r="K30" i="4"/>
  <c r="J30" i="4"/>
  <c r="I30" i="4"/>
  <c r="N26" i="4"/>
  <c r="B26" i="4"/>
  <c r="N22" i="4"/>
  <c r="M22" i="4"/>
  <c r="L22" i="4"/>
  <c r="K22" i="4"/>
  <c r="J22" i="4"/>
  <c r="I22" i="4"/>
  <c r="H22" i="4"/>
  <c r="G22" i="4"/>
  <c r="F22" i="4"/>
  <c r="N21" i="4"/>
  <c r="M21" i="4"/>
  <c r="L21" i="4"/>
  <c r="K21" i="4"/>
  <c r="J21" i="4"/>
  <c r="I21" i="4"/>
  <c r="N19" i="4"/>
  <c r="M19" i="4"/>
  <c r="L19" i="4"/>
  <c r="K19" i="4"/>
  <c r="J19" i="4"/>
  <c r="I19" i="4"/>
  <c r="N14" i="4"/>
  <c r="M14" i="4"/>
  <c r="L14" i="4"/>
  <c r="K14" i="4"/>
  <c r="J14" i="4"/>
  <c r="I14" i="4"/>
  <c r="N6" i="4"/>
  <c r="B6" i="4"/>
  <c r="M253" i="3"/>
  <c r="F250" i="3"/>
  <c r="F247" i="3"/>
  <c r="D247" i="3"/>
  <c r="D248" i="3" s="1"/>
  <c r="E246" i="3" s="1"/>
  <c r="N246" i="3"/>
  <c r="N245" i="3"/>
  <c r="N247" i="3" s="1"/>
  <c r="N253" i="3" s="1"/>
  <c r="M231" i="3"/>
  <c r="J231" i="3"/>
  <c r="M230" i="3"/>
  <c r="J230" i="3"/>
  <c r="L228" i="3"/>
  <c r="L231" i="3" s="1"/>
  <c r="K228" i="3"/>
  <c r="N228" i="3" s="1"/>
  <c r="L227" i="3"/>
  <c r="K227" i="3"/>
  <c r="N227" i="3" s="1"/>
  <c r="N226" i="3"/>
  <c r="L226" i="3"/>
  <c r="K226" i="3"/>
  <c r="L225" i="3"/>
  <c r="K225" i="3"/>
  <c r="N224" i="3"/>
  <c r="L224" i="3"/>
  <c r="K224" i="3"/>
  <c r="F199" i="3"/>
  <c r="N198" i="3"/>
  <c r="F197" i="3"/>
  <c r="N167" i="3"/>
  <c r="N166" i="3"/>
  <c r="N161" i="3"/>
  <c r="I161" i="3"/>
  <c r="N155" i="3"/>
  <c r="N30" i="4" s="1"/>
  <c r="N152" i="3"/>
  <c r="N151" i="3"/>
  <c r="N150" i="3"/>
  <c r="N145" i="3"/>
  <c r="N144" i="3"/>
  <c r="N143" i="3"/>
  <c r="N138" i="3"/>
  <c r="N137" i="3"/>
  <c r="N136" i="3"/>
  <c r="N131" i="3"/>
  <c r="I131" i="3"/>
  <c r="N125" i="3"/>
  <c r="N124" i="3"/>
  <c r="N123" i="3"/>
  <c r="N113" i="3"/>
  <c r="N108" i="3"/>
  <c r="N107" i="3"/>
  <c r="N104" i="3"/>
  <c r="N103" i="3"/>
  <c r="N102" i="3"/>
  <c r="N97" i="3"/>
  <c r="N96" i="3"/>
  <c r="N95" i="3"/>
  <c r="N90" i="3"/>
  <c r="N89" i="3"/>
  <c r="N88" i="3"/>
  <c r="N83" i="3"/>
  <c r="N77" i="3"/>
  <c r="N76" i="3"/>
  <c r="N75" i="3"/>
  <c r="N69" i="3"/>
  <c r="N68" i="3"/>
  <c r="N63" i="3"/>
  <c r="N62" i="3"/>
  <c r="N61" i="3"/>
  <c r="N55" i="3"/>
  <c r="N54" i="3"/>
  <c r="N49" i="3"/>
  <c r="N48" i="3"/>
  <c r="N47" i="3"/>
  <c r="N42" i="3"/>
  <c r="N41" i="3"/>
  <c r="N40" i="3"/>
  <c r="N35" i="3"/>
  <c r="N34" i="3"/>
  <c r="N33" i="3"/>
  <c r="N28" i="3"/>
  <c r="N27" i="3"/>
  <c r="N26" i="3"/>
  <c r="N21" i="3"/>
  <c r="N20" i="3"/>
  <c r="N19" i="3"/>
  <c r="N8" i="3"/>
  <c r="I8" i="3"/>
  <c r="D6" i="3"/>
  <c r="B38" i="4" s="1"/>
  <c r="I2" i="3"/>
  <c r="E81" i="2"/>
  <c r="M81" i="2" s="1"/>
  <c r="G68" i="2"/>
  <c r="F68" i="2"/>
  <c r="N68" i="2" s="1"/>
  <c r="E68" i="2"/>
  <c r="M68" i="2" s="1"/>
  <c r="D68" i="2"/>
  <c r="D81" i="2" s="1"/>
  <c r="L81" i="2" s="1"/>
  <c r="O61" i="2"/>
  <c r="O60" i="2"/>
  <c r="O59" i="2"/>
  <c r="H82" i="2" s="1"/>
  <c r="P69" i="2" s="1"/>
  <c r="P82" i="2" s="1"/>
  <c r="B50" i="2"/>
  <c r="G42" i="2"/>
  <c r="O29" i="2" s="1"/>
  <c r="O42" i="2" s="1"/>
  <c r="F42" i="2"/>
  <c r="N29" i="2" s="1"/>
  <c r="N42" i="2" s="1"/>
  <c r="E42" i="2"/>
  <c r="M29" i="2" s="1"/>
  <c r="M42" i="2" s="1"/>
  <c r="D42" i="2"/>
  <c r="L29" i="2" s="1"/>
  <c r="L42" i="2" s="1"/>
  <c r="H41" i="2"/>
  <c r="P28" i="2" s="1"/>
  <c r="P41" i="2" s="1"/>
  <c r="G41" i="2"/>
  <c r="O28" i="2" s="1"/>
  <c r="O41" i="2" s="1"/>
  <c r="E40" i="2"/>
  <c r="M27" i="2" s="1"/>
  <c r="M40" i="2" s="1"/>
  <c r="D40" i="2"/>
  <c r="L27" i="2" s="1"/>
  <c r="L40" i="2" s="1"/>
  <c r="H39" i="2"/>
  <c r="P26" i="2" s="1"/>
  <c r="P39" i="2" s="1"/>
  <c r="G39" i="2"/>
  <c r="O26" i="2" s="1"/>
  <c r="O39" i="2" s="1"/>
  <c r="F39" i="2"/>
  <c r="N26" i="2" s="1"/>
  <c r="N39" i="2" s="1"/>
  <c r="E39" i="2"/>
  <c r="M26" i="2" s="1"/>
  <c r="M39" i="2" s="1"/>
  <c r="D39" i="2"/>
  <c r="L26" i="2" s="1"/>
  <c r="L39" i="2" s="1"/>
  <c r="F38" i="2"/>
  <c r="N25" i="2" s="1"/>
  <c r="N38" i="2" s="1"/>
  <c r="E38" i="2"/>
  <c r="M25" i="2" s="1"/>
  <c r="M38" i="2" s="1"/>
  <c r="O17" i="2"/>
  <c r="F17" i="2"/>
  <c r="G17" i="2" s="1"/>
  <c r="H17" i="2" s="1"/>
  <c r="O16" i="2"/>
  <c r="O15" i="2"/>
  <c r="B6" i="2"/>
  <c r="D26" i="1"/>
  <c r="C26" i="1"/>
  <c r="D25" i="1"/>
  <c r="C25" i="1"/>
  <c r="C24" i="1"/>
  <c r="L230" i="3" l="1"/>
  <c r="G45" i="4"/>
  <c r="H399" i="4"/>
  <c r="F83" i="4"/>
  <c r="F512" i="4"/>
  <c r="F515" i="4" s="1"/>
  <c r="F517" i="4" s="1"/>
  <c r="F526" i="4" s="1"/>
  <c r="F534" i="4" s="1"/>
  <c r="F546" i="4" s="1"/>
  <c r="H45" i="4"/>
  <c r="H65" i="4"/>
  <c r="G49" i="4"/>
  <c r="H346" i="4"/>
  <c r="H347" i="4" s="1"/>
  <c r="H578" i="4"/>
  <c r="G46" i="4"/>
  <c r="I256" i="4"/>
  <c r="I259" i="4" s="1"/>
  <c r="J244" i="4"/>
  <c r="J245" i="4" s="1"/>
  <c r="G48" i="4"/>
  <c r="I304" i="4"/>
  <c r="I73" i="3"/>
  <c r="I20" i="4" s="1"/>
  <c r="I459" i="4" s="1"/>
  <c r="J73" i="3"/>
  <c r="J20" i="4" s="1"/>
  <c r="I116" i="3"/>
  <c r="I74" i="4" s="1"/>
  <c r="B2" i="2"/>
  <c r="I86" i="3"/>
  <c r="I45" i="4" s="1"/>
  <c r="N86" i="3"/>
  <c r="N45" i="4" s="1"/>
  <c r="B7" i="4"/>
  <c r="I93" i="3"/>
  <c r="I46" i="4" s="1"/>
  <c r="L38" i="3"/>
  <c r="L13" i="4" s="1"/>
  <c r="I17" i="3"/>
  <c r="I10" i="4" s="1"/>
  <c r="M38" i="3"/>
  <c r="M13" i="4" s="1"/>
  <c r="K66" i="3"/>
  <c r="K18" i="4" s="1"/>
  <c r="J17" i="3"/>
  <c r="J10" i="4" s="1"/>
  <c r="L66" i="3"/>
  <c r="L18" i="4" s="1"/>
  <c r="K17" i="3"/>
  <c r="K10" i="4" s="1"/>
  <c r="M66" i="3"/>
  <c r="M18" i="4" s="1"/>
  <c r="J100" i="3"/>
  <c r="J47" i="4" s="1"/>
  <c r="J141" i="3"/>
  <c r="M17" i="3"/>
  <c r="M10" i="4" s="1"/>
  <c r="K100" i="3"/>
  <c r="K47" i="4" s="1"/>
  <c r="K141" i="3"/>
  <c r="L141" i="3"/>
  <c r="N24" i="3"/>
  <c r="N11" i="4" s="1"/>
  <c r="I52" i="3"/>
  <c r="I16" i="4" s="1"/>
  <c r="J52" i="3"/>
  <c r="J16" i="4" s="1"/>
  <c r="K52" i="3"/>
  <c r="K16" i="4" s="1"/>
  <c r="L52" i="3"/>
  <c r="L16" i="4" s="1"/>
  <c r="M31" i="3"/>
  <c r="M12" i="4" s="1"/>
  <c r="B27" i="4"/>
  <c r="J59" i="3"/>
  <c r="J17" i="4" s="1"/>
  <c r="M86" i="3"/>
  <c r="M45" i="4" s="1"/>
  <c r="L116" i="3"/>
  <c r="L74" i="4" s="1"/>
  <c r="J148" i="3"/>
  <c r="J32" i="4" s="1"/>
  <c r="J341" i="4" s="1"/>
  <c r="I10" i="3"/>
  <c r="I9" i="4" s="1"/>
  <c r="I440" i="4" s="1"/>
  <c r="K38" i="3"/>
  <c r="K13" i="4" s="1"/>
  <c r="K59" i="3"/>
  <c r="K17" i="4" s="1"/>
  <c r="M116" i="3"/>
  <c r="M74" i="4" s="1"/>
  <c r="K148" i="3"/>
  <c r="K32" i="4" s="1"/>
  <c r="K341" i="4" s="1"/>
  <c r="M52" i="3"/>
  <c r="M16" i="4" s="1"/>
  <c r="M141" i="3"/>
  <c r="N141" i="3"/>
  <c r="N31" i="4" s="1"/>
  <c r="J10" i="3"/>
  <c r="J9" i="4" s="1"/>
  <c r="I45" i="3"/>
  <c r="I15" i="4" s="1"/>
  <c r="L100" i="3"/>
  <c r="L47" i="4" s="1"/>
  <c r="I134" i="3"/>
  <c r="I29" i="4" s="1"/>
  <c r="B290" i="4"/>
  <c r="B51" i="2"/>
  <c r="K10" i="3"/>
  <c r="K9" i="4" s="1"/>
  <c r="J45" i="3"/>
  <c r="J15" i="4" s="1"/>
  <c r="M100" i="3"/>
  <c r="M47" i="4" s="1"/>
  <c r="J134" i="3"/>
  <c r="J29" i="4" s="1"/>
  <c r="L10" i="3"/>
  <c r="L9" i="4" s="1"/>
  <c r="I31" i="3"/>
  <c r="I12" i="4" s="1"/>
  <c r="K45" i="3"/>
  <c r="K15" i="4" s="1"/>
  <c r="J86" i="3"/>
  <c r="J45" i="4" s="1"/>
  <c r="N100" i="3"/>
  <c r="N47" i="4" s="1"/>
  <c r="K134" i="3"/>
  <c r="K29" i="4" s="1"/>
  <c r="M10" i="3"/>
  <c r="M9" i="4" s="1"/>
  <c r="K31" i="3"/>
  <c r="K12" i="4" s="1"/>
  <c r="I66" i="3"/>
  <c r="I18" i="4" s="1"/>
  <c r="K86" i="3"/>
  <c r="K45" i="4" s="1"/>
  <c r="B2" i="4"/>
  <c r="B121" i="4"/>
  <c r="N10" i="3"/>
  <c r="N9" i="4" s="1"/>
  <c r="L31" i="3"/>
  <c r="L12" i="4" s="1"/>
  <c r="J66" i="3"/>
  <c r="J18" i="4" s="1"/>
  <c r="L86" i="3"/>
  <c r="L45" i="4" s="1"/>
  <c r="L24" i="3"/>
  <c r="L11" i="4" s="1"/>
  <c r="N38" i="3"/>
  <c r="N13" i="4" s="1"/>
  <c r="N52" i="3"/>
  <c r="N16" i="4" s="1"/>
  <c r="K73" i="3"/>
  <c r="K20" i="4" s="1"/>
  <c r="M24" i="3"/>
  <c r="M11" i="4" s="1"/>
  <c r="I59" i="3"/>
  <c r="I17" i="4" s="1"/>
  <c r="I100" i="3"/>
  <c r="I47" i="4" s="1"/>
  <c r="I148" i="3"/>
  <c r="I32" i="4" s="1"/>
  <c r="I341" i="4" s="1"/>
  <c r="I346" i="4" s="1"/>
  <c r="I486" i="4" s="1"/>
  <c r="I232" i="4" s="1"/>
  <c r="B71" i="4"/>
  <c r="B197" i="4"/>
  <c r="N31" i="3"/>
  <c r="N12" i="4" s="1"/>
  <c r="L73" i="3"/>
  <c r="L20" i="4" s="1"/>
  <c r="B2" i="3"/>
  <c r="M73" i="3"/>
  <c r="M20" i="4" s="1"/>
  <c r="M148" i="3"/>
  <c r="M32" i="4" s="1"/>
  <c r="M341" i="4" s="1"/>
  <c r="N148" i="3"/>
  <c r="N32" i="4" s="1"/>
  <c r="L45" i="3"/>
  <c r="L15" i="4" s="1"/>
  <c r="L134" i="3"/>
  <c r="L29" i="4" s="1"/>
  <c r="M45" i="3"/>
  <c r="M15" i="4" s="1"/>
  <c r="M134" i="3"/>
  <c r="M29" i="4" s="1"/>
  <c r="N45" i="3"/>
  <c r="N15" i="4" s="1"/>
  <c r="N73" i="3"/>
  <c r="N20" i="4" s="1"/>
  <c r="I24" i="3"/>
  <c r="I11" i="4" s="1"/>
  <c r="I442" i="4" s="1"/>
  <c r="J24" i="3"/>
  <c r="J11" i="4" s="1"/>
  <c r="I38" i="3"/>
  <c r="I13" i="4" s="1"/>
  <c r="J116" i="3"/>
  <c r="J74" i="4" s="1"/>
  <c r="L59" i="3"/>
  <c r="L17" i="4" s="1"/>
  <c r="J93" i="3"/>
  <c r="J46" i="4" s="1"/>
  <c r="L148" i="3"/>
  <c r="L32" i="4" s="1"/>
  <c r="L341" i="4" s="1"/>
  <c r="N17" i="3"/>
  <c r="N10" i="4" s="1"/>
  <c r="M59" i="3"/>
  <c r="M17" i="4" s="1"/>
  <c r="K93" i="3"/>
  <c r="K46" i="4" s="1"/>
  <c r="B159" i="4"/>
  <c r="N59" i="3"/>
  <c r="N17" i="4" s="1"/>
  <c r="L93" i="3"/>
  <c r="L46" i="4" s="1"/>
  <c r="N134" i="3"/>
  <c r="N29" i="4" s="1"/>
  <c r="M93" i="3"/>
  <c r="M46" i="4" s="1"/>
  <c r="K24" i="3"/>
  <c r="K11" i="4" s="1"/>
  <c r="J38" i="3"/>
  <c r="J13" i="4" s="1"/>
  <c r="K116" i="3"/>
  <c r="K74" i="4" s="1"/>
  <c r="E86" i="2"/>
  <c r="M73" i="2" s="1"/>
  <c r="M86" i="2" s="1"/>
  <c r="E82" i="2"/>
  <c r="M69" i="2" s="1"/>
  <c r="M82" i="2" s="1"/>
  <c r="G83" i="2"/>
  <c r="O70" i="2" s="1"/>
  <c r="O83" i="2" s="1"/>
  <c r="F60" i="2"/>
  <c r="G60" i="2" s="1"/>
  <c r="H60" i="2" s="1"/>
  <c r="D86" i="2"/>
  <c r="L73" i="2" s="1"/>
  <c r="L86" i="2" s="1"/>
  <c r="H83" i="2"/>
  <c r="P70" i="2" s="1"/>
  <c r="P83" i="2" s="1"/>
  <c r="D82" i="2"/>
  <c r="L69" i="2" s="1"/>
  <c r="L82" i="2" s="1"/>
  <c r="D83" i="2"/>
  <c r="L70" i="2" s="1"/>
  <c r="L83" i="2" s="1"/>
  <c r="G86" i="2"/>
  <c r="O73" i="2" s="1"/>
  <c r="O86" i="2" s="1"/>
  <c r="F59" i="2"/>
  <c r="G59" i="2" s="1"/>
  <c r="H59" i="2" s="1"/>
  <c r="H86" i="2"/>
  <c r="P73" i="2" s="1"/>
  <c r="P86" i="2" s="1"/>
  <c r="E84" i="2"/>
  <c r="M71" i="2" s="1"/>
  <c r="M84" i="2" s="1"/>
  <c r="D84" i="2"/>
  <c r="L71" i="2" s="1"/>
  <c r="L84" i="2" s="1"/>
  <c r="F86" i="2"/>
  <c r="N73" i="2" s="1"/>
  <c r="N86" i="2" s="1"/>
  <c r="H85" i="2"/>
  <c r="P72" i="2" s="1"/>
  <c r="P85" i="2" s="1"/>
  <c r="F83" i="2"/>
  <c r="N70" i="2" s="1"/>
  <c r="N83" i="2" s="1"/>
  <c r="F61" i="2"/>
  <c r="G61" i="2" s="1"/>
  <c r="H61" i="2" s="1"/>
  <c r="G85" i="2"/>
  <c r="O72" i="2" s="1"/>
  <c r="O85" i="2" s="1"/>
  <c r="E83" i="2"/>
  <c r="M70" i="2" s="1"/>
  <c r="M83" i="2" s="1"/>
  <c r="H84" i="2"/>
  <c r="P71" i="2" s="1"/>
  <c r="P84" i="2" s="1"/>
  <c r="G84" i="2"/>
  <c r="O71" i="2" s="1"/>
  <c r="O84" i="2" s="1"/>
  <c r="F84" i="2"/>
  <c r="N71" i="2" s="1"/>
  <c r="N84" i="2" s="1"/>
  <c r="K230" i="3"/>
  <c r="N225" i="3"/>
  <c r="N230" i="3" s="1"/>
  <c r="F237" i="3" s="1"/>
  <c r="F238" i="3" s="1"/>
  <c r="F239" i="3" s="1"/>
  <c r="N237" i="3" s="1"/>
  <c r="N239" i="3" s="1"/>
  <c r="N254" i="3" s="1"/>
  <c r="F82" i="2"/>
  <c r="N69" i="2" s="1"/>
  <c r="N82" i="2" s="1"/>
  <c r="D85" i="2"/>
  <c r="L72" i="2" s="1"/>
  <c r="L85" i="2" s="1"/>
  <c r="E85" i="2"/>
  <c r="M72" i="2" s="1"/>
  <c r="M85" i="2" s="1"/>
  <c r="G99" i="4"/>
  <c r="F84" i="4"/>
  <c r="G82" i="2"/>
  <c r="O69" i="2" s="1"/>
  <c r="O82" i="2" s="1"/>
  <c r="F85" i="2"/>
  <c r="N72" i="2" s="1"/>
  <c r="N85" i="2" s="1"/>
  <c r="K231" i="3"/>
  <c r="F46" i="4"/>
  <c r="F49" i="4"/>
  <c r="J256" i="4"/>
  <c r="J259" i="4" s="1"/>
  <c r="K244" i="4"/>
  <c r="H47" i="4"/>
  <c r="H49" i="4"/>
  <c r="O68" i="2"/>
  <c r="G81" i="2"/>
  <c r="O81" i="2" s="1"/>
  <c r="H68" i="2"/>
  <c r="F41" i="2"/>
  <c r="N28" i="2" s="1"/>
  <c r="N41" i="2" s="1"/>
  <c r="H38" i="2"/>
  <c r="P25" i="2" s="1"/>
  <c r="P38" i="2" s="1"/>
  <c r="E41" i="2"/>
  <c r="M28" i="2" s="1"/>
  <c r="M41" i="2" s="1"/>
  <c r="H42" i="2"/>
  <c r="P29" i="2" s="1"/>
  <c r="P42" i="2" s="1"/>
  <c r="D41" i="2"/>
  <c r="L28" i="2" s="1"/>
  <c r="L41" i="2" s="1"/>
  <c r="H40" i="2"/>
  <c r="P27" i="2" s="1"/>
  <c r="P40" i="2" s="1"/>
  <c r="F15" i="2"/>
  <c r="G15" i="2" s="1"/>
  <c r="H15" i="2" s="1"/>
  <c r="F40" i="2"/>
  <c r="N27" i="2" s="1"/>
  <c r="N40" i="2" s="1"/>
  <c r="G40" i="2"/>
  <c r="O27" i="2" s="1"/>
  <c r="O40" i="2" s="1"/>
  <c r="G38" i="2"/>
  <c r="O25" i="2" s="1"/>
  <c r="O38" i="2" s="1"/>
  <c r="F16" i="2"/>
  <c r="G16" i="2" s="1"/>
  <c r="H16" i="2" s="1"/>
  <c r="I113" i="3"/>
  <c r="I2" i="4"/>
  <c r="I83" i="3"/>
  <c r="E247" i="3"/>
  <c r="E248" i="3" s="1"/>
  <c r="L68" i="2"/>
  <c r="H46" i="4"/>
  <c r="J2" i="3"/>
  <c r="L25" i="2"/>
  <c r="L38" i="2" s="1"/>
  <c r="G328" i="4"/>
  <c r="G280" i="4"/>
  <c r="F48" i="4"/>
  <c r="G65" i="4"/>
  <c r="F201" i="3"/>
  <c r="L10" i="1" s="1"/>
  <c r="F200" i="3"/>
  <c r="L9" i="1" s="1"/>
  <c r="I293" i="4"/>
  <c r="I311" i="4" s="1"/>
  <c r="J311" i="4" s="1"/>
  <c r="F45" i="4"/>
  <c r="K292" i="4"/>
  <c r="J304" i="4"/>
  <c r="F81" i="2"/>
  <c r="N81" i="2" s="1"/>
  <c r="I263" i="4"/>
  <c r="M254" i="3"/>
  <c r="F248" i="3"/>
  <c r="F578" i="4"/>
  <c r="H366" i="4"/>
  <c r="G371" i="4"/>
  <c r="G372" i="4" s="1"/>
  <c r="H526" i="4"/>
  <c r="I514" i="4"/>
  <c r="G534" i="4"/>
  <c r="G546" i="4" s="1"/>
  <c r="G580" i="4" s="1"/>
  <c r="H356" i="4"/>
  <c r="G358" i="4"/>
  <c r="B469" i="4"/>
  <c r="B339" i="4"/>
  <c r="B438" i="4"/>
  <c r="B382" i="4"/>
  <c r="B523" i="4"/>
  <c r="B242" i="4"/>
  <c r="B412" i="4"/>
  <c r="B353" i="4"/>
  <c r="L17" i="3"/>
  <c r="L10" i="4" s="1"/>
  <c r="J31" i="3"/>
  <c r="J12" i="4" s="1"/>
  <c r="N66" i="3"/>
  <c r="N18" i="4" s="1"/>
  <c r="N93" i="3"/>
  <c r="N46" i="4" s="1"/>
  <c r="I141" i="3"/>
  <c r="G347" i="4"/>
  <c r="J570" i="4"/>
  <c r="G376" i="4"/>
  <c r="G404" i="4" s="1"/>
  <c r="G356" i="4" l="1"/>
  <c r="G361" i="4" s="1"/>
  <c r="G405" i="4" s="1"/>
  <c r="G86" i="4"/>
  <c r="G87" i="4" s="1"/>
  <c r="G95" i="4" s="1"/>
  <c r="G357" i="4"/>
  <c r="J263" i="4"/>
  <c r="F580" i="4"/>
  <c r="J459" i="4"/>
  <c r="K459" i="4" s="1"/>
  <c r="I343" i="4"/>
  <c r="I347" i="4" s="1"/>
  <c r="I540" i="4" s="1"/>
  <c r="I342" i="4" s="1"/>
  <c r="J346" i="4" s="1"/>
  <c r="J486" i="4" s="1"/>
  <c r="J232" i="4" s="1"/>
  <c r="J440" i="4"/>
  <c r="K440" i="4" s="1"/>
  <c r="I78" i="4"/>
  <c r="I491" i="4" s="1"/>
  <c r="I441" i="4"/>
  <c r="I444" i="4"/>
  <c r="I41" i="4"/>
  <c r="I52" i="4" s="1"/>
  <c r="I60" i="4" s="1"/>
  <c r="I447" i="4"/>
  <c r="I443" i="4"/>
  <c r="F209" i="3"/>
  <c r="O13" i="2" s="1"/>
  <c r="I445" i="4"/>
  <c r="I451" i="4"/>
  <c r="I446" i="4"/>
  <c r="I75" i="4"/>
  <c r="I94" i="4" s="1"/>
  <c r="I450" i="4"/>
  <c r="J442" i="4"/>
  <c r="K442" i="4" s="1"/>
  <c r="I42" i="4"/>
  <c r="N257" i="3"/>
  <c r="I385" i="4"/>
  <c r="E250" i="3"/>
  <c r="H534" i="4"/>
  <c r="H546" i="4" s="1"/>
  <c r="H580" i="4" s="1"/>
  <c r="I356" i="4"/>
  <c r="H358" i="4"/>
  <c r="H357" i="4" s="1"/>
  <c r="I31" i="4"/>
  <c r="K256" i="4"/>
  <c r="K259" i="4" s="1"/>
  <c r="K245" i="4"/>
  <c r="L244" i="4"/>
  <c r="L292" i="4"/>
  <c r="K293" i="4"/>
  <c r="K311" i="4" s="1"/>
  <c r="K304" i="4"/>
  <c r="P68" i="2"/>
  <c r="H81" i="2"/>
  <c r="P81" i="2" s="1"/>
  <c r="N231" i="3"/>
  <c r="J113" i="3"/>
  <c r="J83" i="3"/>
  <c r="J161" i="3"/>
  <c r="K2" i="3"/>
  <c r="J131" i="3"/>
  <c r="J8" i="3"/>
  <c r="I411" i="4"/>
  <c r="I352" i="4"/>
  <c r="I468" i="4"/>
  <c r="I338" i="4"/>
  <c r="I437" i="4"/>
  <c r="I381" i="4"/>
  <c r="I120" i="4"/>
  <c r="I522" i="4"/>
  <c r="I6" i="4"/>
  <c r="I26" i="4"/>
  <c r="I37" i="4"/>
  <c r="J2" i="4"/>
  <c r="H2" i="4"/>
  <c r="I196" i="4"/>
  <c r="I70" i="4"/>
  <c r="I158" i="4"/>
  <c r="G406" i="4"/>
  <c r="H367" i="4"/>
  <c r="H368" i="4" s="1"/>
  <c r="H376" i="4"/>
  <c r="H404" i="4" s="1"/>
  <c r="K570" i="4"/>
  <c r="D245" i="4" l="1"/>
  <c r="K266" i="4" s="1"/>
  <c r="D293" i="4"/>
  <c r="K263" i="4"/>
  <c r="H361" i="4"/>
  <c r="H405" i="4" s="1"/>
  <c r="H406" i="4" s="1"/>
  <c r="I100" i="4"/>
  <c r="I111" i="4" s="1"/>
  <c r="I112" i="4" s="1"/>
  <c r="I55" i="4"/>
  <c r="I62" i="4" s="1"/>
  <c r="J75" i="4"/>
  <c r="J78" i="4"/>
  <c r="J100" i="4" s="1"/>
  <c r="J446" i="4"/>
  <c r="J441" i="4"/>
  <c r="J444" i="4"/>
  <c r="J450" i="4"/>
  <c r="J447" i="4"/>
  <c r="J445" i="4"/>
  <c r="J343" i="4"/>
  <c r="J347" i="4" s="1"/>
  <c r="J540" i="4" s="1"/>
  <c r="J342" i="4" s="1"/>
  <c r="K346" i="4" s="1"/>
  <c r="K486" i="4" s="1"/>
  <c r="K232" i="4" s="1"/>
  <c r="J451" i="4"/>
  <c r="J41" i="4"/>
  <c r="J55" i="4" s="1"/>
  <c r="J443" i="4"/>
  <c r="I490" i="4"/>
  <c r="I498" i="4" s="1"/>
  <c r="I387" i="4" s="1"/>
  <c r="I474" i="4"/>
  <c r="I538" i="4" s="1"/>
  <c r="D244" i="4"/>
  <c r="I448" i="4"/>
  <c r="I452" i="4" s="1"/>
  <c r="I472" i="4" s="1"/>
  <c r="I529" i="4"/>
  <c r="F24" i="2"/>
  <c r="F37" i="2" s="1"/>
  <c r="N37" i="2" s="1"/>
  <c r="I210" i="4"/>
  <c r="I221" i="4"/>
  <c r="J42" i="4"/>
  <c r="J54" i="4" s="1"/>
  <c r="I53" i="4"/>
  <c r="I56" i="4"/>
  <c r="I54" i="4"/>
  <c r="I366" i="4"/>
  <c r="H371" i="4"/>
  <c r="H372" i="4" s="1"/>
  <c r="I504" i="4"/>
  <c r="I431" i="4"/>
  <c r="I432" i="4" s="1"/>
  <c r="F211" i="3"/>
  <c r="L293" i="4"/>
  <c r="L311" i="4" s="1"/>
  <c r="L304" i="4"/>
  <c r="M292" i="4"/>
  <c r="K83" i="3"/>
  <c r="L2" i="3"/>
  <c r="K131" i="3"/>
  <c r="K161" i="3"/>
  <c r="K113" i="3"/>
  <c r="K8" i="3"/>
  <c r="L442" i="4"/>
  <c r="K42" i="4"/>
  <c r="H411" i="4"/>
  <c r="H352" i="4"/>
  <c r="H468" i="4"/>
  <c r="H338" i="4"/>
  <c r="H437" i="4"/>
  <c r="H381" i="4"/>
  <c r="H522" i="4"/>
  <c r="H26" i="4"/>
  <c r="H120" i="4"/>
  <c r="H6" i="4"/>
  <c r="H70" i="4"/>
  <c r="H37" i="4"/>
  <c r="G2" i="4"/>
  <c r="H158" i="4"/>
  <c r="L570" i="4"/>
  <c r="G96" i="4"/>
  <c r="G97" i="4" s="1"/>
  <c r="L459" i="4"/>
  <c r="K343" i="4"/>
  <c r="K451" i="4"/>
  <c r="K445" i="4"/>
  <c r="K447" i="4"/>
  <c r="K450" i="4"/>
  <c r="K444" i="4"/>
  <c r="K441" i="4"/>
  <c r="K446" i="4"/>
  <c r="K443" i="4"/>
  <c r="L440" i="4"/>
  <c r="K75" i="4"/>
  <c r="K41" i="4"/>
  <c r="K78" i="4"/>
  <c r="L256" i="4"/>
  <c r="L259" i="4" s="1"/>
  <c r="L245" i="4"/>
  <c r="L263" i="4" s="1"/>
  <c r="M244" i="4"/>
  <c r="J411" i="4"/>
  <c r="J352" i="4"/>
  <c r="J468" i="4"/>
  <c r="J338" i="4"/>
  <c r="J437" i="4"/>
  <c r="J381" i="4"/>
  <c r="J522" i="4"/>
  <c r="J6" i="4"/>
  <c r="J120" i="4"/>
  <c r="J26" i="4"/>
  <c r="J37" i="4"/>
  <c r="K2" i="4"/>
  <c r="J196" i="4"/>
  <c r="J70" i="4"/>
  <c r="J158" i="4"/>
  <c r="G88" i="4"/>
  <c r="G101" i="4" s="1"/>
  <c r="E24" i="2" l="1"/>
  <c r="E37" i="2" s="1"/>
  <c r="M37" i="2" s="1"/>
  <c r="J491" i="4"/>
  <c r="G24" i="2"/>
  <c r="G37" i="2" s="1"/>
  <c r="O37" i="2" s="1"/>
  <c r="J448" i="4"/>
  <c r="J452" i="4" s="1"/>
  <c r="J472" i="4" s="1"/>
  <c r="J221" i="4"/>
  <c r="J94" i="4"/>
  <c r="J111" i="4" s="1"/>
  <c r="J210" i="4"/>
  <c r="J490" i="4"/>
  <c r="J52" i="4"/>
  <c r="J529" i="4" s="1"/>
  <c r="N24" i="2"/>
  <c r="I530" i="4"/>
  <c r="J62" i="4"/>
  <c r="J474" i="4"/>
  <c r="J538" i="4" s="1"/>
  <c r="I161" i="4"/>
  <c r="I168" i="4" s="1"/>
  <c r="I188" i="4" s="1"/>
  <c r="I113" i="4"/>
  <c r="J110" i="4" s="1"/>
  <c r="K448" i="4"/>
  <c r="K452" i="4" s="1"/>
  <c r="K472" i="4" s="1"/>
  <c r="J53" i="4"/>
  <c r="J61" i="4" s="1"/>
  <c r="J56" i="4"/>
  <c r="J64" i="4" s="1"/>
  <c r="K474" i="4"/>
  <c r="I64" i="4"/>
  <c r="I552" i="4"/>
  <c r="I551" i="4"/>
  <c r="I63" i="4"/>
  <c r="I61" i="4"/>
  <c r="I528" i="4"/>
  <c r="K347" i="4"/>
  <c r="K540" i="4" s="1"/>
  <c r="K342" i="4" s="1"/>
  <c r="L346" i="4" s="1"/>
  <c r="L486" i="4" s="1"/>
  <c r="L232" i="4" s="1"/>
  <c r="H93" i="4"/>
  <c r="G83" i="4"/>
  <c r="L266" i="4"/>
  <c r="G411" i="4"/>
  <c r="G352" i="4"/>
  <c r="G468" i="4"/>
  <c r="G338" i="4"/>
  <c r="G437" i="4"/>
  <c r="G381" i="4"/>
  <c r="G522" i="4"/>
  <c r="G26" i="4"/>
  <c r="G6" i="4"/>
  <c r="G70" i="4"/>
  <c r="G158" i="4"/>
  <c r="F2" i="4"/>
  <c r="G37" i="4"/>
  <c r="G120" i="4"/>
  <c r="I170" i="4"/>
  <c r="I132" i="4"/>
  <c r="L83" i="3"/>
  <c r="M2" i="3"/>
  <c r="L8" i="3"/>
  <c r="L161" i="3"/>
  <c r="L113" i="3"/>
  <c r="L131" i="3"/>
  <c r="K491" i="4"/>
  <c r="K100" i="4"/>
  <c r="I266" i="4"/>
  <c r="J266" i="4"/>
  <c r="I367" i="4"/>
  <c r="I507" i="4" s="1"/>
  <c r="G102" i="4"/>
  <c r="G103" i="4" s="1"/>
  <c r="K56" i="4"/>
  <c r="K53" i="4"/>
  <c r="K54" i="4"/>
  <c r="M256" i="4"/>
  <c r="M245" i="4"/>
  <c r="M263" i="4" s="1"/>
  <c r="N244" i="4"/>
  <c r="N245" i="4" s="1"/>
  <c r="M570" i="4"/>
  <c r="M442" i="4"/>
  <c r="L42" i="4"/>
  <c r="I571" i="4"/>
  <c r="J430" i="4"/>
  <c r="K468" i="4"/>
  <c r="K338" i="4"/>
  <c r="K437" i="4"/>
  <c r="K381" i="4"/>
  <c r="K522" i="4"/>
  <c r="K411" i="4"/>
  <c r="K352" i="4"/>
  <c r="K120" i="4"/>
  <c r="K26" i="4"/>
  <c r="K196" i="4"/>
  <c r="K37" i="4"/>
  <c r="K70" i="4"/>
  <c r="K6" i="4"/>
  <c r="L2" i="4"/>
  <c r="K158" i="4"/>
  <c r="J551" i="4"/>
  <c r="J63" i="4"/>
  <c r="M304" i="4"/>
  <c r="M293" i="4"/>
  <c r="M311" i="4" s="1"/>
  <c r="N292" i="4"/>
  <c r="M459" i="4"/>
  <c r="L343" i="4"/>
  <c r="J530" i="4"/>
  <c r="K52" i="4"/>
  <c r="K60" i="4" s="1"/>
  <c r="K55" i="4"/>
  <c r="C71" i="2"/>
  <c r="C27" i="2"/>
  <c r="F212" i="3"/>
  <c r="L11" i="1" s="1"/>
  <c r="K221" i="4"/>
  <c r="K210" i="4"/>
  <c r="K490" i="4"/>
  <c r="K94" i="4"/>
  <c r="L445" i="4"/>
  <c r="L447" i="4"/>
  <c r="L450" i="4"/>
  <c r="L444" i="4"/>
  <c r="L441" i="4"/>
  <c r="L446" i="4"/>
  <c r="L443" i="4"/>
  <c r="M440" i="4"/>
  <c r="L451" i="4"/>
  <c r="L41" i="4"/>
  <c r="L78" i="4"/>
  <c r="L75" i="4"/>
  <c r="H24" i="2" l="1"/>
  <c r="H37" i="2" s="1"/>
  <c r="P37" i="2" s="1"/>
  <c r="J498" i="4"/>
  <c r="J387" i="4" s="1"/>
  <c r="J161" i="4"/>
  <c r="J168" i="4" s="1"/>
  <c r="J188" i="4" s="1"/>
  <c r="D24" i="2"/>
  <c r="D37" i="2" s="1"/>
  <c r="L37" i="2" s="1"/>
  <c r="M24" i="2"/>
  <c r="O24" i="2"/>
  <c r="K538" i="4"/>
  <c r="J60" i="4"/>
  <c r="J65" i="4" s="1"/>
  <c r="J211" i="4" s="1"/>
  <c r="J552" i="4"/>
  <c r="J528" i="4"/>
  <c r="J112" i="4"/>
  <c r="J113" i="4" s="1"/>
  <c r="K110" i="4" s="1"/>
  <c r="I65" i="4"/>
  <c r="K161" i="4"/>
  <c r="K168" i="4" s="1"/>
  <c r="K188" i="4" s="1"/>
  <c r="I211" i="4"/>
  <c r="I479" i="4"/>
  <c r="I222" i="4"/>
  <c r="L448" i="4"/>
  <c r="L452" i="4" s="1"/>
  <c r="L472" i="4" s="1"/>
  <c r="H99" i="4"/>
  <c r="G84" i="4"/>
  <c r="K71" i="2"/>
  <c r="C72" i="2"/>
  <c r="C84" i="2"/>
  <c r="K84" i="2" s="1"/>
  <c r="C70" i="2"/>
  <c r="L53" i="4"/>
  <c r="L61" i="4" s="1"/>
  <c r="L56" i="4"/>
  <c r="L54" i="4"/>
  <c r="N442" i="4"/>
  <c r="N42" i="4" s="1"/>
  <c r="M42" i="4"/>
  <c r="H86" i="4"/>
  <c r="M447" i="4"/>
  <c r="M450" i="4"/>
  <c r="M444" i="4"/>
  <c r="M441" i="4"/>
  <c r="M446" i="4"/>
  <c r="M443" i="4"/>
  <c r="N440" i="4"/>
  <c r="M451" i="4"/>
  <c r="M445" i="4"/>
  <c r="M78" i="4"/>
  <c r="M41" i="4"/>
  <c r="M75" i="4"/>
  <c r="N304" i="4"/>
  <c r="N293" i="4"/>
  <c r="F301" i="4" s="1"/>
  <c r="L474" i="4"/>
  <c r="K530" i="4"/>
  <c r="K528" i="4"/>
  <c r="K111" i="4"/>
  <c r="K552" i="4"/>
  <c r="K64" i="4"/>
  <c r="L347" i="4"/>
  <c r="L540" i="4" s="1"/>
  <c r="L342" i="4" s="1"/>
  <c r="F411" i="4"/>
  <c r="F352" i="4"/>
  <c r="F468" i="4"/>
  <c r="F338" i="4"/>
  <c r="F437" i="4"/>
  <c r="F381" i="4"/>
  <c r="F522" i="4"/>
  <c r="F26" i="4"/>
  <c r="F6" i="4"/>
  <c r="F70" i="4"/>
  <c r="F37" i="4"/>
  <c r="F120" i="4"/>
  <c r="F158" i="4"/>
  <c r="K529" i="4"/>
  <c r="K551" i="4"/>
  <c r="K63" i="4"/>
  <c r="K62" i="4"/>
  <c r="K498" i="4"/>
  <c r="K387" i="4" s="1"/>
  <c r="K61" i="4"/>
  <c r="M83" i="3"/>
  <c r="M8" i="3"/>
  <c r="M131" i="3"/>
  <c r="M113" i="3"/>
  <c r="M161" i="3"/>
  <c r="L490" i="4"/>
  <c r="L94" i="4"/>
  <c r="L210" i="4"/>
  <c r="L221" i="4"/>
  <c r="N459" i="4"/>
  <c r="M343" i="4"/>
  <c r="L491" i="4"/>
  <c r="L100" i="4"/>
  <c r="L468" i="4"/>
  <c r="L338" i="4"/>
  <c r="L437" i="4"/>
  <c r="L381" i="4"/>
  <c r="L522" i="4"/>
  <c r="L158" i="4"/>
  <c r="L411" i="4"/>
  <c r="L352" i="4"/>
  <c r="L196" i="4"/>
  <c r="M2" i="4"/>
  <c r="L37" i="4"/>
  <c r="L26" i="4"/>
  <c r="L70" i="4"/>
  <c r="L6" i="4"/>
  <c r="L120" i="4"/>
  <c r="L55" i="4"/>
  <c r="L62" i="4" s="1"/>
  <c r="L52" i="4"/>
  <c r="L60" i="4" s="1"/>
  <c r="C28" i="2"/>
  <c r="K27" i="2"/>
  <c r="C26" i="2"/>
  <c r="C40" i="2"/>
  <c r="K40" i="2" s="1"/>
  <c r="I368" i="4"/>
  <c r="I376" i="4" s="1"/>
  <c r="L538" i="4" l="1"/>
  <c r="P24" i="2"/>
  <c r="J132" i="4"/>
  <c r="L24" i="2"/>
  <c r="J170" i="4"/>
  <c r="L161" i="4"/>
  <c r="L168" i="4" s="1"/>
  <c r="L188" i="4" s="1"/>
  <c r="J222" i="4"/>
  <c r="J479" i="4"/>
  <c r="M448" i="4"/>
  <c r="M452" i="4" s="1"/>
  <c r="M472" i="4" s="1"/>
  <c r="K65" i="4"/>
  <c r="K211" i="4" s="1"/>
  <c r="M52" i="4"/>
  <c r="M60" i="4" s="1"/>
  <c r="M55" i="4"/>
  <c r="L528" i="4"/>
  <c r="M468" i="4"/>
  <c r="M338" i="4"/>
  <c r="M437" i="4"/>
  <c r="M381" i="4"/>
  <c r="M522" i="4"/>
  <c r="M411" i="4"/>
  <c r="M352" i="4"/>
  <c r="M158" i="4"/>
  <c r="M196" i="4"/>
  <c r="M37" i="4"/>
  <c r="M70" i="4"/>
  <c r="M120" i="4"/>
  <c r="M6" i="4"/>
  <c r="M26" i="4"/>
  <c r="C73" i="2"/>
  <c r="C85" i="2"/>
  <c r="K85" i="2" s="1"/>
  <c r="K72" i="2"/>
  <c r="M54" i="4"/>
  <c r="M53" i="4"/>
  <c r="M61" i="4" s="1"/>
  <c r="M56" i="4"/>
  <c r="L552" i="4"/>
  <c r="L64" i="4"/>
  <c r="N447" i="4"/>
  <c r="N450" i="4"/>
  <c r="N444" i="4"/>
  <c r="N441" i="4"/>
  <c r="N446" i="4"/>
  <c r="N443" i="4"/>
  <c r="N451" i="4"/>
  <c r="N445" i="4"/>
  <c r="N78" i="4"/>
  <c r="N100" i="4" s="1"/>
  <c r="N41" i="4"/>
  <c r="J366" i="4"/>
  <c r="I371" i="4"/>
  <c r="I549" i="4" s="1"/>
  <c r="L498" i="4"/>
  <c r="L387" i="4" s="1"/>
  <c r="L529" i="4"/>
  <c r="L530" i="4"/>
  <c r="M491" i="4"/>
  <c r="M100" i="4"/>
  <c r="L551" i="4"/>
  <c r="L63" i="4"/>
  <c r="M474" i="4"/>
  <c r="H87" i="4"/>
  <c r="H95" i="4" s="1"/>
  <c r="H88" i="4"/>
  <c r="H101" i="4" s="1"/>
  <c r="N54" i="4"/>
  <c r="N56" i="4"/>
  <c r="N53" i="4"/>
  <c r="K112" i="4"/>
  <c r="C83" i="2"/>
  <c r="K83" i="2" s="1"/>
  <c r="C69" i="2"/>
  <c r="K70" i="2"/>
  <c r="L111" i="4"/>
  <c r="K26" i="2"/>
  <c r="C25" i="2"/>
  <c r="C39" i="2"/>
  <c r="K39" i="2" s="1"/>
  <c r="M346" i="4"/>
  <c r="M486" i="4" s="1"/>
  <c r="M232" i="4" s="1"/>
  <c r="C29" i="2"/>
  <c r="C41" i="2"/>
  <c r="K41" i="2" s="1"/>
  <c r="K28" i="2"/>
  <c r="M490" i="4"/>
  <c r="M210" i="4"/>
  <c r="M221" i="4"/>
  <c r="M94" i="4"/>
  <c r="N311" i="4"/>
  <c r="M538" i="4" l="1"/>
  <c r="K222" i="4"/>
  <c r="M161" i="4"/>
  <c r="M168" i="4" s="1"/>
  <c r="M188" i="4" s="1"/>
  <c r="M498" i="4"/>
  <c r="M387" i="4" s="1"/>
  <c r="K479" i="4"/>
  <c r="I372" i="4"/>
  <c r="I560" i="4" s="1"/>
  <c r="M111" i="4"/>
  <c r="N448" i="4"/>
  <c r="N452" i="4" s="1"/>
  <c r="G200" i="4" s="1"/>
  <c r="N200" i="4" s="1"/>
  <c r="L65" i="4"/>
  <c r="L479" i="4" s="1"/>
  <c r="M552" i="4"/>
  <c r="M64" i="4"/>
  <c r="C82" i="2"/>
  <c r="K82" i="2" s="1"/>
  <c r="K69" i="2"/>
  <c r="N55" i="4"/>
  <c r="N62" i="4" s="1"/>
  <c r="N52" i="4"/>
  <c r="N60" i="4" s="1"/>
  <c r="H96" i="4"/>
  <c r="H97" i="4" s="1"/>
  <c r="M530" i="4"/>
  <c r="K132" i="4"/>
  <c r="K170" i="4"/>
  <c r="N63" i="4"/>
  <c r="H102" i="4"/>
  <c r="H103" i="4" s="1"/>
  <c r="J367" i="4"/>
  <c r="J507" i="4" s="1"/>
  <c r="M528" i="4"/>
  <c r="N61" i="4"/>
  <c r="M551" i="4"/>
  <c r="M63" i="4"/>
  <c r="C86" i="2"/>
  <c r="K86" i="2" s="1"/>
  <c r="K73" i="2"/>
  <c r="C42" i="2"/>
  <c r="K42" i="2" s="1"/>
  <c r="K29" i="2"/>
  <c r="M529" i="4"/>
  <c r="M347" i="4"/>
  <c r="M540" i="4" s="1"/>
  <c r="M342" i="4" s="1"/>
  <c r="K113" i="4"/>
  <c r="L110" i="4" s="1"/>
  <c r="M62" i="4"/>
  <c r="C38" i="2"/>
  <c r="K38" i="2" s="1"/>
  <c r="K25" i="2"/>
  <c r="N64" i="4"/>
  <c r="L211" i="4" l="1"/>
  <c r="L222" i="4"/>
  <c r="M65" i="4"/>
  <c r="M479" i="4" s="1"/>
  <c r="H83" i="4"/>
  <c r="I93" i="4"/>
  <c r="H84" i="4"/>
  <c r="I99" i="4"/>
  <c r="L112" i="4"/>
  <c r="J368" i="4"/>
  <c r="J376" i="4" s="1"/>
  <c r="N65" i="4"/>
  <c r="N209" i="4"/>
  <c r="M211" i="4" l="1"/>
  <c r="M222" i="4"/>
  <c r="L132" i="4"/>
  <c r="L170" i="4"/>
  <c r="L113" i="4"/>
  <c r="M110" i="4" s="1"/>
  <c r="I86" i="4"/>
  <c r="N222" i="4"/>
  <c r="N211" i="4"/>
  <c r="K366" i="4"/>
  <c r="J371" i="4"/>
  <c r="J549" i="4" s="1"/>
  <c r="J372" i="4" l="1"/>
  <c r="J560" i="4" s="1"/>
  <c r="K367" i="4"/>
  <c r="K507" i="4" s="1"/>
  <c r="I473" i="4"/>
  <c r="I169" i="4"/>
  <c r="I171" i="4" s="1"/>
  <c r="I131" i="4"/>
  <c r="I87" i="4"/>
  <c r="I95" i="4" s="1"/>
  <c r="I97" i="4" s="1"/>
  <c r="I208" i="4"/>
  <c r="M112" i="4"/>
  <c r="M113" i="4" s="1"/>
  <c r="K368" i="4" l="1"/>
  <c r="K376" i="4" s="1"/>
  <c r="I217" i="4"/>
  <c r="I477" i="4"/>
  <c r="I481" i="4" s="1"/>
  <c r="I537" i="4"/>
  <c r="I83" i="4"/>
  <c r="J93" i="4"/>
  <c r="I180" i="4"/>
  <c r="I162" i="4"/>
  <c r="I174" i="4"/>
  <c r="I88" i="4"/>
  <c r="I101" i="4" s="1"/>
  <c r="I103" i="4" s="1"/>
  <c r="M132" i="4"/>
  <c r="M170" i="4"/>
  <c r="L366" i="4" l="1"/>
  <c r="K371" i="4"/>
  <c r="K549" i="4" s="1"/>
  <c r="I181" i="4"/>
  <c r="I175" i="4" s="1"/>
  <c r="I176" i="4" s="1"/>
  <c r="I186" i="4" s="1"/>
  <c r="L367" i="4"/>
  <c r="L507" i="4" s="1"/>
  <c r="I539" i="4"/>
  <c r="I545" i="4" s="1"/>
  <c r="J99" i="4"/>
  <c r="I84" i="4"/>
  <c r="J86" i="4" s="1"/>
  <c r="K372" i="4" l="1"/>
  <c r="K560" i="4" s="1"/>
  <c r="I182" i="4"/>
  <c r="J179" i="4" s="1"/>
  <c r="J473" i="4"/>
  <c r="J87" i="4"/>
  <c r="J95" i="4" s="1"/>
  <c r="J97" i="4" s="1"/>
  <c r="J169" i="4"/>
  <c r="J171" i="4" s="1"/>
  <c r="J131" i="4"/>
  <c r="J208" i="4"/>
  <c r="L368" i="4"/>
  <c r="L376" i="4" s="1"/>
  <c r="I200" i="4"/>
  <c r="I187" i="4"/>
  <c r="J162" i="4" l="1"/>
  <c r="J180" i="4"/>
  <c r="J174" i="4"/>
  <c r="I209" i="4"/>
  <c r="I212" i="4" s="1"/>
  <c r="L371" i="4"/>
  <c r="L549" i="4" s="1"/>
  <c r="M366" i="4"/>
  <c r="J537" i="4"/>
  <c r="J83" i="4"/>
  <c r="K93" i="4"/>
  <c r="J88" i="4"/>
  <c r="J101" i="4" s="1"/>
  <c r="J103" i="4" s="1"/>
  <c r="J217" i="4"/>
  <c r="J477" i="4"/>
  <c r="J481" i="4" s="1"/>
  <c r="M367" i="4" l="1"/>
  <c r="M507" i="4" s="1"/>
  <c r="M368" i="4"/>
  <c r="M376" i="4"/>
  <c r="L372" i="4"/>
  <c r="L560" i="4" s="1"/>
  <c r="J181" i="4"/>
  <c r="J175" i="4" s="1"/>
  <c r="J176" i="4" s="1"/>
  <c r="J186" i="4" s="1"/>
  <c r="J539" i="4"/>
  <c r="J545" i="4" s="1"/>
  <c r="J84" i="4"/>
  <c r="K86" i="4" s="1"/>
  <c r="K99" i="4"/>
  <c r="J182" i="4" l="1"/>
  <c r="K179" i="4" s="1"/>
  <c r="M371" i="4"/>
  <c r="M549" i="4" s="1"/>
  <c r="M372" i="4"/>
  <c r="M560" i="4" s="1"/>
  <c r="K473" i="4"/>
  <c r="K169" i="4"/>
  <c r="K171" i="4" s="1"/>
  <c r="K87" i="4"/>
  <c r="K95" i="4" s="1"/>
  <c r="K97" i="4" s="1"/>
  <c r="K131" i="4"/>
  <c r="K208" i="4"/>
  <c r="J200" i="4"/>
  <c r="J187" i="4"/>
  <c r="K174" i="4" l="1"/>
  <c r="K180" i="4"/>
  <c r="K162" i="4"/>
  <c r="K217" i="4"/>
  <c r="K477" i="4"/>
  <c r="K481" i="4" s="1"/>
  <c r="K537" i="4"/>
  <c r="L93" i="4"/>
  <c r="K83" i="4"/>
  <c r="K88" i="4"/>
  <c r="K101" i="4" s="1"/>
  <c r="K103" i="4" s="1"/>
  <c r="J209" i="4"/>
  <c r="J212" i="4" s="1"/>
  <c r="K181" i="4" l="1"/>
  <c r="K175" i="4" s="1"/>
  <c r="K176" i="4" s="1"/>
  <c r="K186" i="4" s="1"/>
  <c r="K539" i="4"/>
  <c r="K545" i="4" s="1"/>
  <c r="L99" i="4"/>
  <c r="K84" i="4"/>
  <c r="L86" i="4" s="1"/>
  <c r="K182" i="4" l="1"/>
  <c r="L179" i="4" s="1"/>
  <c r="L473" i="4"/>
  <c r="L169" i="4"/>
  <c r="L171" i="4" s="1"/>
  <c r="L87" i="4"/>
  <c r="L95" i="4" s="1"/>
  <c r="L97" i="4" s="1"/>
  <c r="L131" i="4"/>
  <c r="L208" i="4"/>
  <c r="K200" i="4"/>
  <c r="K187" i="4"/>
  <c r="L88" i="4" l="1"/>
  <c r="L101" i="4" s="1"/>
  <c r="L103" i="4" s="1"/>
  <c r="L539" i="4" s="1"/>
  <c r="L217" i="4"/>
  <c r="L477" i="4"/>
  <c r="L481" i="4" s="1"/>
  <c r="L537" i="4"/>
  <c r="M93" i="4"/>
  <c r="L83" i="4"/>
  <c r="L180" i="4"/>
  <c r="L174" i="4"/>
  <c r="L162" i="4"/>
  <c r="K209" i="4"/>
  <c r="K212" i="4" s="1"/>
  <c r="L545" i="4" l="1"/>
  <c r="L84" i="4"/>
  <c r="M86" i="4" s="1"/>
  <c r="M99" i="4"/>
  <c r="L181" i="4"/>
  <c r="L175" i="4" s="1"/>
  <c r="L176" i="4" s="1"/>
  <c r="L186" i="4" s="1"/>
  <c r="M473" i="4" l="1"/>
  <c r="M217" i="4" s="1"/>
  <c r="M169" i="4"/>
  <c r="M171" i="4" s="1"/>
  <c r="M180" i="4" s="1"/>
  <c r="M131" i="4"/>
  <c r="M87" i="4"/>
  <c r="M95" i="4" s="1"/>
  <c r="M97" i="4" s="1"/>
  <c r="M537" i="4" s="1"/>
  <c r="M208" i="4"/>
  <c r="L182" i="4"/>
  <c r="M179" i="4" s="1"/>
  <c r="L200" i="4"/>
  <c r="L187" i="4"/>
  <c r="M477" i="4" l="1"/>
  <c r="M481" i="4" s="1"/>
  <c r="M174" i="4"/>
  <c r="M162" i="4"/>
  <c r="M88" i="4"/>
  <c r="M101" i="4" s="1"/>
  <c r="M103" i="4" s="1"/>
  <c r="M539" i="4" s="1"/>
  <c r="M545" i="4" s="1"/>
  <c r="M83" i="4"/>
  <c r="N93" i="4"/>
  <c r="L209" i="4"/>
  <c r="L212" i="4" s="1"/>
  <c r="M181" i="4" l="1"/>
  <c r="M175" i="4" s="1"/>
  <c r="M176" i="4" s="1"/>
  <c r="M186" i="4" s="1"/>
  <c r="N99" i="4"/>
  <c r="M84" i="4"/>
  <c r="N118" i="3" s="1"/>
  <c r="M182" i="4" l="1"/>
  <c r="D165" i="4" s="1"/>
  <c r="L13" i="1" s="1"/>
  <c r="N119" i="3"/>
  <c r="N116" i="3" s="1"/>
  <c r="N74" i="4" s="1"/>
  <c r="N75" i="4" s="1"/>
  <c r="N86" i="4"/>
  <c r="N208" i="4" s="1"/>
  <c r="N120" i="3"/>
  <c r="M200" i="4"/>
  <c r="M187" i="4"/>
  <c r="N217" i="4" l="1"/>
  <c r="N87" i="4"/>
  <c r="N95" i="4" s="1"/>
  <c r="N210" i="4"/>
  <c r="N94" i="4"/>
  <c r="N97" i="4" s="1"/>
  <c r="N83" i="4" s="1"/>
  <c r="N221" i="4"/>
  <c r="M209" i="4"/>
  <c r="M212" i="4" s="1"/>
  <c r="N212" i="4"/>
  <c r="N296" i="4"/>
  <c r="N88" i="4" l="1"/>
  <c r="N101" i="4" s="1"/>
  <c r="N103" i="4" s="1"/>
  <c r="N84" i="4" s="1"/>
  <c r="N300" i="4"/>
  <c r="N307" i="4" s="1"/>
  <c r="N314" i="4" s="1"/>
  <c r="I361" i="4"/>
  <c r="I454" i="4" s="1"/>
  <c r="I399" i="4"/>
  <c r="I404" i="4" s="1"/>
  <c r="I455" i="4" s="1"/>
  <c r="I483" i="4" s="1"/>
  <c r="I456" i="4" l="1"/>
  <c r="I458" i="4" s="1"/>
  <c r="I405" i="4"/>
  <c r="I406" i="4" s="1"/>
  <c r="I484" i="4"/>
  <c r="I230" i="4"/>
  <c r="I219" i="4"/>
  <c r="I460" i="4" l="1"/>
  <c r="I123" i="4"/>
  <c r="I130" i="4" s="1"/>
  <c r="I462" i="4"/>
  <c r="I463" i="4" s="1"/>
  <c r="I216" i="4"/>
  <c r="I133" i="4"/>
  <c r="I150" i="4"/>
  <c r="I142" i="4" l="1"/>
  <c r="I124" i="4"/>
  <c r="I136" i="4"/>
  <c r="I416" i="4"/>
  <c r="I417" i="4"/>
  <c r="I501" i="4" s="1"/>
  <c r="I423" i="4"/>
  <c r="I425" i="4"/>
  <c r="I502" i="4" s="1"/>
  <c r="I143" i="4" l="1"/>
  <c r="I137" i="4" s="1"/>
  <c r="I138" i="4" s="1"/>
  <c r="I426" i="4"/>
  <c r="I388" i="4"/>
  <c r="I418" i="4"/>
  <c r="I144" i="4" l="1"/>
  <c r="J141" i="4" s="1"/>
  <c r="J415" i="4"/>
  <c r="I574" i="4"/>
  <c r="I575" i="4" s="1"/>
  <c r="I576" i="4"/>
  <c r="J422" i="4"/>
  <c r="I485" i="4"/>
  <c r="I148" i="4"/>
  <c r="I201" i="4" l="1"/>
  <c r="I202" i="4" s="1"/>
  <c r="I220" i="4" s="1"/>
  <c r="I149" i="4"/>
  <c r="I218" i="4" s="1"/>
  <c r="I577" i="4"/>
  <c r="I564" i="4"/>
  <c r="I231" i="4"/>
  <c r="I487" i="4"/>
  <c r="I223" i="4" l="1"/>
  <c r="I566" i="4"/>
  <c r="I386" i="4"/>
  <c r="I390" i="4" s="1"/>
  <c r="I395" i="4" s="1"/>
  <c r="I247" i="4"/>
  <c r="I251" i="4" s="1"/>
  <c r="I295" i="4"/>
  <c r="I299" i="4" s="1"/>
  <c r="I229" i="4"/>
  <c r="I233" i="4" s="1"/>
  <c r="I226" i="4"/>
  <c r="I301" i="4" l="1"/>
  <c r="I307" i="4"/>
  <c r="I314" i="4" s="1"/>
  <c r="I306" i="4"/>
  <c r="I258" i="4"/>
  <c r="I253" i="4"/>
  <c r="I508" i="4"/>
  <c r="I509" i="4" s="1"/>
  <c r="I512" i="4" s="1"/>
  <c r="I515" i="4" s="1"/>
  <c r="I517" i="4" s="1"/>
  <c r="I396" i="4"/>
  <c r="J394" i="4" l="1"/>
  <c r="I556" i="4"/>
  <c r="I526" i="4"/>
  <c r="J514" i="4"/>
  <c r="I260" i="4"/>
  <c r="I265" i="4"/>
  <c r="I308" i="4"/>
  <c r="I313" i="4"/>
  <c r="I315" i="4" l="1"/>
  <c r="I267" i="4"/>
  <c r="J385" i="4"/>
  <c r="I534" i="4"/>
  <c r="I546" i="4" s="1"/>
  <c r="I358" i="4"/>
  <c r="I357" i="4" s="1"/>
  <c r="J356" i="4"/>
  <c r="J361" i="4" s="1"/>
  <c r="J31" i="4"/>
  <c r="I557" i="4"/>
  <c r="I567" i="4" s="1"/>
  <c r="I578" i="4" s="1"/>
  <c r="I580" i="4" s="1"/>
  <c r="J399" i="4"/>
  <c r="J404" i="4" s="1"/>
  <c r="J504" i="4" l="1"/>
  <c r="J431" i="4"/>
  <c r="J432" i="4" s="1"/>
  <c r="J454" i="4"/>
  <c r="J405" i="4"/>
  <c r="J406" i="4" s="1"/>
  <c r="J455" i="4"/>
  <c r="J483" i="4" s="1"/>
  <c r="J230" i="4" l="1"/>
  <c r="J484" i="4"/>
  <c r="J219" i="4"/>
  <c r="J456" i="4"/>
  <c r="J571" i="4"/>
  <c r="K430" i="4"/>
  <c r="J458" i="4" l="1"/>
  <c r="J460" i="4" s="1"/>
  <c r="J123" i="4"/>
  <c r="J130" i="4" s="1"/>
  <c r="J133" i="4" l="1"/>
  <c r="J150" i="4"/>
  <c r="J462" i="4"/>
  <c r="J463" i="4" s="1"/>
  <c r="J216" i="4"/>
  <c r="J416" i="4" l="1"/>
  <c r="J417" i="4"/>
  <c r="J501" i="4" s="1"/>
  <c r="J423" i="4"/>
  <c r="J425" i="4"/>
  <c r="J502" i="4" s="1"/>
  <c r="J142" i="4"/>
  <c r="J124" i="4"/>
  <c r="J136" i="4"/>
  <c r="J143" i="4" l="1"/>
  <c r="J137" i="4" s="1"/>
  <c r="J138" i="4" s="1"/>
  <c r="J426" i="4"/>
  <c r="J388" i="4"/>
  <c r="J418" i="4"/>
  <c r="J148" i="4" l="1"/>
  <c r="J485" i="4"/>
  <c r="J576" i="4"/>
  <c r="K422" i="4"/>
  <c r="K415" i="4"/>
  <c r="J574" i="4"/>
  <c r="J575" i="4" s="1"/>
  <c r="J577" i="4" s="1"/>
  <c r="J144" i="4"/>
  <c r="K141" i="4" s="1"/>
  <c r="J231" i="4" l="1"/>
  <c r="J564" i="4"/>
  <c r="J487" i="4"/>
  <c r="J201" i="4"/>
  <c r="J202" i="4" s="1"/>
  <c r="J220" i="4" s="1"/>
  <c r="J149" i="4"/>
  <c r="J218" i="4" s="1"/>
  <c r="J223" i="4" l="1"/>
  <c r="J247" i="4" s="1"/>
  <c r="J251" i="4" s="1"/>
  <c r="J229" i="4"/>
  <c r="J233" i="4" s="1"/>
  <c r="J295" i="4"/>
  <c r="J299" i="4" s="1"/>
  <c r="J226" i="4"/>
  <c r="J386" i="4"/>
  <c r="J390" i="4" s="1"/>
  <c r="J395" i="4" s="1"/>
  <c r="J566" i="4"/>
  <c r="J508" i="4" l="1"/>
  <c r="J509" i="4" s="1"/>
  <c r="J512" i="4" s="1"/>
  <c r="J515" i="4" s="1"/>
  <c r="J517" i="4" s="1"/>
  <c r="J396" i="4"/>
  <c r="J307" i="4"/>
  <c r="J314" i="4" s="1"/>
  <c r="J301" i="4"/>
  <c r="J306" i="4"/>
  <c r="J258" i="4"/>
  <c r="J253" i="4"/>
  <c r="J265" i="4" l="1"/>
  <c r="J260" i="4"/>
  <c r="J308" i="4"/>
  <c r="J313" i="4"/>
  <c r="K394" i="4"/>
  <c r="J556" i="4"/>
  <c r="K514" i="4"/>
  <c r="J526" i="4"/>
  <c r="J315" i="4" l="1"/>
  <c r="K385" i="4"/>
  <c r="J534" i="4"/>
  <c r="J546" i="4" s="1"/>
  <c r="J358" i="4"/>
  <c r="J357" i="4" s="1"/>
  <c r="K356" i="4"/>
  <c r="K361" i="4" s="1"/>
  <c r="J557" i="4"/>
  <c r="J567" i="4" s="1"/>
  <c r="J578" i="4" s="1"/>
  <c r="K31" i="4"/>
  <c r="K399" i="4"/>
  <c r="K404" i="4" s="1"/>
  <c r="J267" i="4"/>
  <c r="J580" i="4" l="1"/>
  <c r="K455" i="4"/>
  <c r="K483" i="4" s="1"/>
  <c r="K454" i="4"/>
  <c r="K405" i="4"/>
  <c r="K406" i="4" s="1"/>
  <c r="K431" i="4"/>
  <c r="K432" i="4" s="1"/>
  <c r="K504" i="4"/>
  <c r="K571" i="4" l="1"/>
  <c r="L430" i="4"/>
  <c r="K456" i="4"/>
  <c r="K484" i="4"/>
  <c r="K230" i="4"/>
  <c r="K219" i="4"/>
  <c r="K458" i="4" l="1"/>
  <c r="K460" i="4" s="1"/>
  <c r="K123" i="4"/>
  <c r="K130" i="4" s="1"/>
  <c r="K150" i="4" l="1"/>
  <c r="K133" i="4"/>
  <c r="K462" i="4"/>
  <c r="K463" i="4" s="1"/>
  <c r="K216" i="4"/>
  <c r="K417" i="4" l="1"/>
  <c r="K501" i="4" s="1"/>
  <c r="K416" i="4"/>
  <c r="K425" i="4"/>
  <c r="K502" i="4" s="1"/>
  <c r="K423" i="4"/>
  <c r="K142" i="4"/>
  <c r="K124" i="4"/>
  <c r="K136" i="4"/>
  <c r="K418" i="4" l="1"/>
  <c r="K426" i="4"/>
  <c r="K388" i="4"/>
  <c r="K143" i="4"/>
  <c r="K137" i="4" s="1"/>
  <c r="K138" i="4" s="1"/>
  <c r="L415" i="4"/>
  <c r="K574" i="4"/>
  <c r="K575" i="4" s="1"/>
  <c r="K148" i="4" l="1"/>
  <c r="K485" i="4"/>
  <c r="K576" i="4"/>
  <c r="K577" i="4" s="1"/>
  <c r="L422" i="4"/>
  <c r="K144" i="4"/>
  <c r="L141" i="4" s="1"/>
  <c r="K231" i="4" l="1"/>
  <c r="K564" i="4"/>
  <c r="K487" i="4"/>
  <c r="K201" i="4"/>
  <c r="K202" i="4" s="1"/>
  <c r="K220" i="4" s="1"/>
  <c r="K149" i="4"/>
  <c r="K218" i="4" s="1"/>
  <c r="K223" i="4" l="1"/>
  <c r="K229" i="4" s="1"/>
  <c r="K233" i="4" s="1"/>
  <c r="K566" i="4"/>
  <c r="K386" i="4"/>
  <c r="K390" i="4" s="1"/>
  <c r="K395" i="4" s="1"/>
  <c r="K226" i="4" l="1"/>
  <c r="K295" i="4"/>
  <c r="K299" i="4" s="1"/>
  <c r="K307" i="4" s="1"/>
  <c r="K314" i="4" s="1"/>
  <c r="K247" i="4"/>
  <c r="K251" i="4" s="1"/>
  <c r="K253" i="4" s="1"/>
  <c r="K508" i="4"/>
  <c r="K509" i="4" s="1"/>
  <c r="K512" i="4" s="1"/>
  <c r="K515" i="4" s="1"/>
  <c r="K517" i="4" s="1"/>
  <c r="K396" i="4"/>
  <c r="K258" i="4" l="1"/>
  <c r="K301" i="4"/>
  <c r="K306" i="4"/>
  <c r="K308" i="4"/>
  <c r="K313" i="4"/>
  <c r="K265" i="4"/>
  <c r="K260" i="4"/>
  <c r="L394" i="4"/>
  <c r="K556" i="4"/>
  <c r="L514" i="4"/>
  <c r="K526" i="4"/>
  <c r="K534" i="4" l="1"/>
  <c r="K546" i="4" s="1"/>
  <c r="K358" i="4"/>
  <c r="K357" i="4" s="1"/>
  <c r="L356" i="4"/>
  <c r="L361" i="4" s="1"/>
  <c r="L385" i="4"/>
  <c r="K557" i="4"/>
  <c r="K567" i="4" s="1"/>
  <c r="K578" i="4" s="1"/>
  <c r="L31" i="4"/>
  <c r="L399" i="4"/>
  <c r="L404" i="4" s="1"/>
  <c r="K267" i="4"/>
  <c r="K315" i="4"/>
  <c r="K580" i="4" l="1"/>
  <c r="L455" i="4"/>
  <c r="L483" i="4" s="1"/>
  <c r="L431" i="4"/>
  <c r="L432" i="4" s="1"/>
  <c r="L504" i="4"/>
  <c r="L454" i="4"/>
  <c r="L405" i="4"/>
  <c r="L406" i="4" s="1"/>
  <c r="L571" i="4" l="1"/>
  <c r="M430" i="4"/>
  <c r="L456" i="4"/>
  <c r="L484" i="4"/>
  <c r="L230" i="4"/>
  <c r="L219" i="4"/>
  <c r="L123" i="4" l="1"/>
  <c r="L130" i="4" s="1"/>
  <c r="L458" i="4"/>
  <c r="L460" i="4" s="1"/>
  <c r="L462" i="4" l="1"/>
  <c r="L216" i="4"/>
  <c r="L463" i="4"/>
  <c r="L150" i="4"/>
  <c r="L133" i="4"/>
  <c r="L124" i="4" l="1"/>
  <c r="L136" i="4"/>
  <c r="L142" i="4"/>
  <c r="L417" i="4"/>
  <c r="L501" i="4" s="1"/>
  <c r="L416" i="4"/>
  <c r="L425" i="4"/>
  <c r="L502" i="4" s="1"/>
  <c r="L423" i="4"/>
  <c r="L388" i="4" l="1"/>
  <c r="L426" i="4"/>
  <c r="L418" i="4"/>
  <c r="L143" i="4"/>
  <c r="L137" i="4" s="1"/>
  <c r="L138" i="4" s="1"/>
  <c r="L148" i="4" l="1"/>
  <c r="L485" i="4"/>
  <c r="L144" i="4"/>
  <c r="M141" i="4" s="1"/>
  <c r="M415" i="4"/>
  <c r="L574" i="4"/>
  <c r="L575" i="4" s="1"/>
  <c r="L576" i="4"/>
  <c r="M422" i="4"/>
  <c r="L577" i="4" l="1"/>
  <c r="L231" i="4"/>
  <c r="L564" i="4"/>
  <c r="L487" i="4"/>
  <c r="L201" i="4"/>
  <c r="L202" i="4" s="1"/>
  <c r="L220" i="4" s="1"/>
  <c r="L149" i="4"/>
  <c r="L218" i="4" s="1"/>
  <c r="L223" i="4" l="1"/>
  <c r="L229" i="4" s="1"/>
  <c r="L233" i="4" s="1"/>
  <c r="L247" i="4"/>
  <c r="L251" i="4" s="1"/>
  <c r="L226" i="4"/>
  <c r="L295" i="4"/>
  <c r="L299" i="4" s="1"/>
  <c r="L386" i="4"/>
  <c r="L390" i="4" s="1"/>
  <c r="L395" i="4" s="1"/>
  <c r="L566" i="4"/>
  <c r="L307" i="4" l="1"/>
  <c r="L314" i="4" s="1"/>
  <c r="L301" i="4"/>
  <c r="L306" i="4"/>
  <c r="L508" i="4"/>
  <c r="L509" i="4" s="1"/>
  <c r="L512" i="4" s="1"/>
  <c r="L515" i="4" s="1"/>
  <c r="L517" i="4" s="1"/>
  <c r="L396" i="4"/>
  <c r="L253" i="4"/>
  <c r="L258" i="4"/>
  <c r="L265" i="4" l="1"/>
  <c r="L260" i="4"/>
  <c r="M394" i="4"/>
  <c r="L556" i="4"/>
  <c r="L308" i="4"/>
  <c r="L313" i="4"/>
  <c r="M514" i="4"/>
  <c r="L526" i="4"/>
  <c r="M385" i="4" l="1"/>
  <c r="L534" i="4"/>
  <c r="L546" i="4" s="1"/>
  <c r="L358" i="4"/>
  <c r="L357" i="4" s="1"/>
  <c r="M356" i="4"/>
  <c r="M361" i="4" s="1"/>
  <c r="L315" i="4"/>
  <c r="L557" i="4"/>
  <c r="L567" i="4" s="1"/>
  <c r="L578" i="4" s="1"/>
  <c r="L580" i="4" s="1"/>
  <c r="M31" i="4"/>
  <c r="M399" i="4"/>
  <c r="M404" i="4" s="1"/>
  <c r="L267" i="4"/>
  <c r="M431" i="4" l="1"/>
  <c r="M432" i="4" s="1"/>
  <c r="M571" i="4" s="1"/>
  <c r="M504" i="4"/>
  <c r="M454" i="4"/>
  <c r="M405" i="4"/>
  <c r="M406" i="4" s="1"/>
  <c r="M455" i="4"/>
  <c r="M483" i="4" l="1"/>
  <c r="N455" i="4"/>
  <c r="M456" i="4"/>
  <c r="M484" i="4"/>
  <c r="M230" i="4"/>
  <c r="N454" i="4"/>
  <c r="M219" i="4"/>
  <c r="N456" i="4" l="1"/>
  <c r="N219" i="4"/>
  <c r="M123" i="4"/>
  <c r="M130" i="4" s="1"/>
  <c r="M458" i="4"/>
  <c r="M460" i="4" s="1"/>
  <c r="M462" i="4" l="1"/>
  <c r="M463" i="4" s="1"/>
  <c r="M216" i="4"/>
  <c r="M133" i="4"/>
  <c r="M150" i="4"/>
  <c r="G201" i="4"/>
  <c r="N201" i="4" s="1"/>
  <c r="N202" i="4" s="1"/>
  <c r="N220" i="4" s="1"/>
  <c r="N458" i="4"/>
  <c r="N460" i="4" s="1"/>
  <c r="N216" i="4" l="1"/>
  <c r="N223" i="4" s="1"/>
  <c r="N462" i="4"/>
  <c r="N463" i="4" s="1"/>
  <c r="M124" i="4"/>
  <c r="M136" i="4"/>
  <c r="M142" i="4"/>
  <c r="M417" i="4"/>
  <c r="M501" i="4" s="1"/>
  <c r="M416" i="4"/>
  <c r="M425" i="4"/>
  <c r="M502" i="4" s="1"/>
  <c r="M423" i="4"/>
  <c r="M426" i="4" l="1"/>
  <c r="M576" i="4" s="1"/>
  <c r="M418" i="4"/>
  <c r="M574" i="4" s="1"/>
  <c r="M575" i="4" s="1"/>
  <c r="M388" i="4"/>
  <c r="M143" i="4"/>
  <c r="M137" i="4" s="1"/>
  <c r="M138" i="4" s="1"/>
  <c r="N247" i="4"/>
  <c r="M252" i="4" s="1"/>
  <c r="N226" i="4"/>
  <c r="N295" i="4"/>
  <c r="M577" i="4" l="1"/>
  <c r="M148" i="4"/>
  <c r="M485" i="4"/>
  <c r="N299" i="4"/>
  <c r="M322" i="4"/>
  <c r="M274" i="4"/>
  <c r="M259" i="4"/>
  <c r="M266" i="4" s="1"/>
  <c r="M272" i="4" s="1"/>
  <c r="M144" i="4"/>
  <c r="D127" i="4" s="1"/>
  <c r="L12" i="1" s="1"/>
  <c r="N301" i="4" l="1"/>
  <c r="N306" i="4"/>
  <c r="M231" i="4"/>
  <c r="M564" i="4"/>
  <c r="M566" i="4" s="1"/>
  <c r="M487" i="4"/>
  <c r="M201" i="4"/>
  <c r="M202" i="4" s="1"/>
  <c r="M220" i="4" s="1"/>
  <c r="M149" i="4"/>
  <c r="M218" i="4" s="1"/>
  <c r="M223" i="4" l="1"/>
  <c r="M229" i="4" s="1"/>
  <c r="M233" i="4" s="1"/>
  <c r="M386" i="4"/>
  <c r="M390" i="4" s="1"/>
  <c r="M395" i="4" s="1"/>
  <c r="N313" i="4"/>
  <c r="N315" i="4" s="1"/>
  <c r="N308" i="4"/>
  <c r="M226" i="4" l="1"/>
  <c r="L14" i="1" s="1"/>
  <c r="M247" i="4"/>
  <c r="M251" i="4" s="1"/>
  <c r="M295" i="4"/>
  <c r="M299" i="4" s="1"/>
  <c r="M307" i="4" s="1"/>
  <c r="M314" i="4" s="1"/>
  <c r="M320" i="4" s="1"/>
  <c r="M508" i="4"/>
  <c r="M509" i="4" s="1"/>
  <c r="M512" i="4" s="1"/>
  <c r="M515" i="4" s="1"/>
  <c r="M517" i="4" s="1"/>
  <c r="M526" i="4" s="1"/>
  <c r="M396" i="4"/>
  <c r="M556" i="4" s="1"/>
  <c r="M557" i="4" s="1"/>
  <c r="M567" i="4" s="1"/>
  <c r="M578" i="4" s="1"/>
  <c r="M253" i="4"/>
  <c r="M258" i="4"/>
  <c r="M301" i="4" l="1"/>
  <c r="M306" i="4"/>
  <c r="M265" i="4"/>
  <c r="M260" i="4"/>
  <c r="G272" i="4" s="1"/>
  <c r="G277" i="4" s="1"/>
  <c r="M313" i="4"/>
  <c r="M308" i="4"/>
  <c r="G320" i="4" s="1"/>
  <c r="G325" i="4" s="1"/>
  <c r="M534" i="4"/>
  <c r="M546" i="4" s="1"/>
  <c r="M580" i="4" s="1"/>
  <c r="L15" i="1" s="1"/>
  <c r="M358" i="4"/>
  <c r="M357" i="4" s="1"/>
  <c r="G330" i="4" l="1"/>
  <c r="M325" i="4" s="1"/>
  <c r="M327" i="4" s="1"/>
  <c r="M329" i="4" s="1"/>
  <c r="E58" i="2"/>
  <c r="C68" i="2"/>
  <c r="M315" i="4"/>
  <c r="G319" i="4" s="1"/>
  <c r="M319" i="4"/>
  <c r="E14" i="2"/>
  <c r="G282" i="4"/>
  <c r="M277" i="4" s="1"/>
  <c r="M279" i="4" s="1"/>
  <c r="M281" i="4" s="1"/>
  <c r="C24" i="2"/>
  <c r="M267" i="4"/>
  <c r="G271" i="4" s="1"/>
  <c r="M271" i="4"/>
  <c r="M273" i="4" l="1"/>
  <c r="L271" i="4" s="1"/>
  <c r="M321" i="4"/>
  <c r="L319" i="4" s="1"/>
  <c r="L321" i="4" l="1"/>
  <c r="L320" i="4"/>
  <c r="L273" i="4"/>
  <c r="L272" i="4"/>
</calcChain>
</file>

<file path=xl/sharedStrings.xml><?xml version="1.0" encoding="utf-8"?>
<sst xmlns="http://schemas.openxmlformats.org/spreadsheetml/2006/main" count="904" uniqueCount="559">
  <si>
    <t>DCF Modeling</t>
  </si>
  <si>
    <t>CONFIDENTIAL</t>
  </si>
  <si>
    <t>Table of Contents</t>
  </si>
  <si>
    <t>Model Checks &amp; Circularity</t>
  </si>
  <si>
    <t>Ouput</t>
  </si>
  <si>
    <t>Incorrect Date Set for Valuation?</t>
  </si>
  <si>
    <t>Input</t>
  </si>
  <si>
    <t>Incorrect Date Set for First Cash Flow?</t>
  </si>
  <si>
    <t>Model</t>
  </si>
  <si>
    <t>Terminal Growth Rate Greater Than or Equal To WACC?</t>
  </si>
  <si>
    <t>Unused Tax Losses Remaining? (Levered Schedule)</t>
  </si>
  <si>
    <t>Unused Tax Losses Remaining? (Unlevered Schedule)</t>
  </si>
  <si>
    <t>Model Guide</t>
  </si>
  <si>
    <t>Two UFCF Methods Different?</t>
  </si>
  <si>
    <t>Balance Sheet Unbalanced?</t>
  </si>
  <si>
    <t>Adjustable Input</t>
  </si>
  <si>
    <t>(Grey Cell)</t>
  </si>
  <si>
    <t>Hardcode</t>
  </si>
  <si>
    <t>(Blue Font)</t>
  </si>
  <si>
    <t>Formula</t>
  </si>
  <si>
    <t>(Black Font)</t>
  </si>
  <si>
    <t>Do Not</t>
  </si>
  <si>
    <t>Model Circularity</t>
  </si>
  <si>
    <t>Delete</t>
  </si>
  <si>
    <t>Circularity Switch</t>
  </si>
  <si>
    <t>Circularity</t>
  </si>
  <si>
    <t xml:space="preserve"> </t>
  </si>
  <si>
    <t>Dashboard: Perpetuity Method</t>
  </si>
  <si>
    <t>Driver Switch:</t>
  </si>
  <si>
    <t>Main Outputs 1</t>
  </si>
  <si>
    <t>Selected Inputs</t>
  </si>
  <si>
    <t>Enterprise</t>
  </si>
  <si>
    <t>Equity</t>
  </si>
  <si>
    <t>Premium</t>
  </si>
  <si>
    <t>Step</t>
  </si>
  <si>
    <t>Value</t>
  </si>
  <si>
    <t>Per Share</t>
  </si>
  <si>
    <t>(Discount)</t>
  </si>
  <si>
    <t>Terminal Growth Rate</t>
  </si>
  <si>
    <t>WACC</t>
  </si>
  <si>
    <t>Net Debt &amp; Other Claims</t>
  </si>
  <si>
    <t>(at Val. Date)</t>
  </si>
  <si>
    <t>Shares Outstanding</t>
  </si>
  <si>
    <t>(FD mm)</t>
  </si>
  <si>
    <t>Current Stock Price</t>
  </si>
  <si>
    <t>(CHF/sh)</t>
  </si>
  <si>
    <t>Enterprise Value 1</t>
  </si>
  <si>
    <t>Equity Value per Share</t>
  </si>
  <si>
    <t>Equity Value</t>
  </si>
  <si>
    <t>Premium (Discount) to Stock Price</t>
  </si>
  <si>
    <t xml:space="preserve">These tables require the workbook calculation to be set to automatic to update. </t>
  </si>
  <si>
    <t>Dashboard: Multiple Method</t>
  </si>
  <si>
    <t>Terminal Multiple</t>
  </si>
  <si>
    <t>Term</t>
  </si>
  <si>
    <t>Justification / Basis of assumption</t>
  </si>
  <si>
    <t>Growth &amp; Margin Drivers</t>
  </si>
  <si>
    <t xml:space="preserve">Model Running: </t>
  </si>
  <si>
    <t>All figures in CHF millions unless stated</t>
  </si>
  <si>
    <t>Sales growth, % YoY</t>
  </si>
  <si>
    <t>Best Case</t>
  </si>
  <si>
    <t>Best Case: reported sales growth converges toward the organic growth guidance (3–4% for 2026) as the c.3% FX headwind from a strong CHF and the 2025–26 portfolio exits (Waters JV, VMS, ice cream) roll off, building to 5% by 2030. Source: Nestlé H1 2026 results and FY2026 guidance. | Term (N): 2.0% perpetual growth in CHF – upper end of the long-run CHF nominal range (c.1% inflation + c.1% real volume).</t>
  </si>
  <si>
    <t>Base Case</t>
  </si>
  <si>
    <t>Base Case: 2026 +0.5% = organic growth guidance of 3–4% less a c.3% FX headwind at spot rates (H1 2026 guidance); 2027 +1.5% as FX normalises; 2028 slows under an assumed mild global slowdown; 2029–30 returns toward the organic trend (2.0–2.8%). The Waters deconsolidation into the Peranel JV (FY2025 sales CHF 3.5bn, closing H1 2027) is not modelled separately and would lower 2027 reported sales by up to c.4pp. | Term (N): 1.5% perpetual growth in CHF = c.0.5–1.0% long-run CHF inflation (SNB target 0–2%) plus c.1% real volume, net of the structural drag from CHF appreciation on translated sales. Feeds the Gordon-growth terminal value via cell F209.</t>
  </si>
  <si>
    <t>Worst Case</t>
  </si>
  <si>
    <t>Worst Case: a demand and macro shock in 2028–29 (–5.5% and –3.0%), sized on the roughly ten-year cadence of past global stress events (1998, 2008, 2020). Consumer staples are assumed to decline less than cyclical sectors, with stabilisation in 2030. | Term (N): 1.0% – persistent CHF strength and a low-volume staples environment.</t>
  </si>
  <si>
    <t>Other revenue, % of sales</t>
  </si>
  <si>
    <t>Other revenue (royalty and licensing-type income) as % of sales. FY23–25 range 0.38–0.44%; the Best Case trends gently upward with stronger sales momentum. | Term (N), all scenarios: held at the 2030 ratio so that margins are stable in perpetuity.</t>
  </si>
  <si>
    <t>Held at 0.42–0.45% of sales, close to the FY2025 level (0.44%) and slightly above the FY23–25 average (0.41%).</t>
  </si>
  <si>
    <t>Compressed during the 2028–29 downturn on lower royalty and licensing volumes, recovering partially by 2030.</t>
  </si>
  <si>
    <t>COGS</t>
  </si>
  <si>
    <t>COGS is projected as a growth rate on the prior year and is the main lever for the gross-margin path. In the Best Case COGS grows slower than sales, supported by 'Fuel for Growth' procurement savings (CHF 3bn gross savings target by end-2027) and easing cocoa and coffee costs. | Term (N), all scenarios: COGS grows at the terminal sales growth rate, freezing the 2030 gross margin in perpetuity (no margin drift in the terminal year).</t>
  </si>
  <si>
    <t>Calibrated so that the EBITDA margin moves from 17.5% (2026) to 18.3% (2030), recovering above the FY2025 level (17.7%) but staying below FY2024 (20.0%), as coffee and cocoa cost relief and 'Fuel for Growth' savings are partly reinvested.</t>
  </si>
  <si>
    <t>In the 2028 shock year COGS falls less than sales (–5.3% vs –5.5%): input costs and FX stay elevated while volumes soften, the typical operating-deleverage pattern for consumer staples in a downturn.</t>
  </si>
  <si>
    <t xml:space="preserve">Distribution expenses </t>
  </si>
  <si>
    <t>Distribution costs as % of sales continue the FY23–25 decline (8.3% to 8.2%) through logistics and network efficiencies, reaching 7.4% by 2030. | Term (N), all scenarios: held at the 2030 ratio (steady state).</t>
  </si>
  <si>
    <t>Gradual improvement from the FY2025 level (8.2%) to 7.9% by 2030 from ongoing logistics and network efficiency.</t>
  </si>
  <si>
    <t>Rises to 9.0% in 2028 as freight costs increase and lower volumes absorb fixed distribution costs, then partially normalises.</t>
  </si>
  <si>
    <t xml:space="preserve">Marketing &amp; administration expenses </t>
  </si>
  <si>
    <t>Includes a deliberate step-up in advertising and promotion, in line with management's stated intent to lift A&amp;P toward c.9% of sales, within a Marketing &amp; Administration total that has run at 19–20% of sales; reaches 20.8% by 2030. | Term (N), all scenarios: held at the 2030 ratio (steady state).</t>
  </si>
  <si>
    <t>Modest reinvestment from 20.0% to 20.3% of sales, broadly in line with the FY2025 level (20.0%).</t>
  </si>
  <si>
    <t>Rises to 21.3% in 2028: overheads are less flexible than marketing spend, so the ratio increases even as A&amp;P is reduced; it partially normalises thereafter.</t>
  </si>
  <si>
    <t xml:space="preserve">Other trading income </t>
  </si>
  <si>
    <t>Small and historically volatile line (FY23–25: 0.14–0.15% of sales); the Best Case is slightly higher. | Term (N), all scenarios: held at the 2030 ratio (steady state).</t>
  </si>
  <si>
    <t>Held near the FY23–25 average.</t>
  </si>
  <si>
    <t>Compressed during the 2028–29 downturn.</t>
  </si>
  <si>
    <t xml:space="preserve">Other trading expenses </t>
  </si>
  <si>
    <t>Elevated in 2026–27 by 'Fuel for Growth' restructuring and impairment-type charges (c.16,000 role reductions by end-2027, announced in Q4 2025), fading from 2028 as the programme completes; the Best Case assumes faster execution. | Term (N): Best and Base held at the 2030 ratio, by which point the restructuring programme is complete.</t>
  </si>
  <si>
    <t>H1 2026 other trading expenses ran at 1.9% of sales (restructuring and net other trading items CHF 0.8bn vs CHF 0.4bn in H1 2025) as 'Fuel for Growth' restructuring accelerated; 2.4% for the full year allows for H2 phasing, declining to 0.95% of sales by 2030 as the programme completes.</t>
  </si>
  <si>
    <t>Adds further impairment and restructuring charges in the 2028 shock year (3.4% of sales) on top of the ongoing programme, before receding. | Term (N): normalised to 1.2% – the 2030 ratio (1.6%) still carries downturn-related charges, and one-off costs should not be capitalised into perpetuity.</t>
  </si>
  <si>
    <t xml:space="preserve">Other operating income </t>
  </si>
  <si>
    <t>Historically volatile, disposal-gain-type line (FY23–25: 0.28–0.52% of sales); the Best Case assumes slightly more portfolio gains. | Term (N), all scenarios: held at the 2030 ratio (steady state).</t>
  </si>
  <si>
    <t>Held near the FY2025 level (0.28% of sales), below the FY23–25 average (0.37%), which included higher disposal gains in 2024.</t>
  </si>
  <si>
    <t>Compressed in the downturn as fewer disposal gains are realised.</t>
  </si>
  <si>
    <t xml:space="preserve">Other operating expenses </t>
  </si>
  <si>
    <t>Historically 0.42–0.81% of sales (FY23–25); the Best Case trends lower. | Term (N): Best and Base held at the 2030 ratio.</t>
  </si>
  <si>
    <t>0.60% of sales in 2026 easing to 0.48% by 2030, below FY2025 (0.73%, incl. infant-formula inventory write-offs). Excludes the CHF 1.3bn one-off non-cash write-down on assets held for sale booked in H1 2026, so reported 2026 net profit will be lower than modelled; the non-cash share of this line is added back in the cash flow via row 168.</t>
  </si>
  <si>
    <t>Rises to 1.35% of sales in the 2028 trough, then recedes. | Term (N): normalised to 0.7% (vs 0.85% in 2030) for the same reason as other trading expenses – downturn charges are not carried into perpetuity.</t>
  </si>
  <si>
    <t>Income from associates &amp; JV, growth % YoY</t>
  </si>
  <si>
    <t>Year-on-year growth in income from associates &amp; JV (mainly the L'Oréal stake); the Best Case assumes 6–7% growth. | Term (N), all scenarios: grows at terminal sales growth. Note: income from associates &amp; JV is excluded from EBIT and UFCF; the value of the L'Oréal stake is captured at market value in the equity bridge (rows 207–211).</t>
  </si>
  <si>
    <t>Modest recovery (3–5% a year) after the FY2025 decline (–8.5%).</t>
  </si>
  <si>
    <t>Declines with the equity-market and consumer downturn in 2026–29, then recovers slightly in 2030.</t>
  </si>
  <si>
    <t>Working Capital Drivers</t>
  </si>
  <si>
    <t>DSO</t>
  </si>
  <si>
    <t>(Days)</t>
  </si>
  <si>
    <t>Best Case: DSO improves c.0.5 day a year to 40.5 days by 2030 as receivables processing moves into expanded shared services with tighter escalation and governance (FY2025 strategic update). | Term (N), all scenarios: held at the 2030 level, so net working capital grows in line with sales in perpetuity.</t>
  </si>
  <si>
    <t>Base Case: starts from the FY2025 actual (43.1 days) and eases to 42 days by 2030, supported by tighter receivables governance and the expansion of shared services (FY2023–25 range: 43–45 days).</t>
  </si>
  <si>
    <t>Worst Case: customers and distributors stretch payment terms in the 2028 downturn (48 days, above the FY2024 peak of 45 days), normalising partially to 46 days by 2030.</t>
  </si>
  <si>
    <t>DSI</t>
  </si>
  <si>
    <t>Best Case: inventory days fall back below the FY2023 level (86 days) to 84 days by 2030 as lower coffee and cocoa costs flow through and data-driven inventory resets (finished goods, raw &amp; packaging, spare parts) are fully embedded. | Term (N), all scenarios: held at the 2030 level.</t>
  </si>
  <si>
    <t>Base Case: gradual normalisation from the commodity-inflated FY2024–25 level (96–99 days) to 87 days by 2030, close to FY2023 (86 days); 2026 (93 days) reflects the working-capital improvement reported in H1 2026, partly from lower coffee and cocoa costs.</t>
  </si>
  <si>
    <t>Worst Case: renewed commodity inflation combined with a volume shortfall builds inventory to 104 days in 2028 (above the FY2024 peak of 99 days), before partial correction to 97 days by 2030.</t>
  </si>
  <si>
    <t>DPO</t>
  </si>
  <si>
    <t>Best Case: further extension of supplier terms and supply-chain-finance coverage, rising to 155 days by 2030 (the previous Base Case path). | Term (N), all scenarios: held at the 2030 level.</t>
  </si>
  <si>
    <t>Base Case: held flat at 150 days, the FY2025 level and close to the FY2023–25 average (151 days). Payable days are already high for the sector; lower commodity prices reduce payable balances, and further extension would rely on supplier-finance programmes.</t>
  </si>
  <si>
    <t>Worst Case: suppliers tighten terms and lower purchase volumes reduce payables in the downturn, falling to 140 days in 2028 (FY2023 level: 139 days) and recovering to 144 days by 2030.</t>
  </si>
  <si>
    <t>Prepayments</t>
  </si>
  <si>
    <t>prepayments are c.CHF 0.5bn (c.2 days of sales, stable over FY2023–25); scenario impact on cash is immaterial, so a single input applies to all scenarios. | Term (N): held at the 2030 level.</t>
  </si>
  <si>
    <t>Accruals</t>
  </si>
  <si>
    <t>accruals held at 40–41 days of COGS, in line with FY2024–25 (41–42 days); a single input applies to all scenarios. | Term (N): held at the 2030 level.</t>
  </si>
  <si>
    <t>Capex, D&amp;A &amp; Fixed Asset Drivers</t>
  </si>
  <si>
    <t>Capex</t>
  </si>
  <si>
    <t>% Sales</t>
  </si>
  <si>
    <t>Best Case: capex at the lower end of management's 4-5% of sales range (4.4-4.6% on this model's basis), reflecting tighter business-case scrutiny and the end of the 2022-24 capacity build-out; absolute capex still rises with sales. | Term (N), all scenarios: formula-driven steady-state reinvestment – total capex = (D&amp;A rate + terminal growth) × 2030 closing PP&amp;E and intangibles, less intangible capex (N123). This lets the asset base grow at the terminal growth rate (c.1.2x D&amp;A) instead of the simplistic 'capex = D&amp;A', which would be inconsistent with positive growth. The formula adapts automatically to the running scenario, so it is identical in all three rows.</t>
  </si>
  <si>
    <t>Base Case: 4.9% of sales in 2026 easing to 4.7% by 2030. Management guides capex to normalise within 4–5% of sales (FY2025: 4.8% on Nestlé's definition vs 5.1% on this model's cash-flow PP&amp;E basis), and lower capex already supported H1 2026 free cash flow. Source: FY2025 results call (19 Feb 2026); H1 2026 results.</t>
  </si>
  <si>
    <t>Worst Case: absolute capex is sticky (committed projects; safety and quality spend non-negotiable) at c.CHF 4.4-4.8bn while sales fall, lifting the ratio to 5.3% in 2028; trimmed back to 5.0% by 2030.</t>
  </si>
  <si>
    <t>Expenditure on intangible assets</t>
  </si>
  <si>
    <t>intangible expenditure (mainly IT/software) ran at 0.36–0.53% of sales over FY2023–25 (cash-flow basis) and is immaterial to group cash flow; a single input applies to all scenarios. | Term (N): held at the 2030 ratio; included in the steady-state total capex calibration (row 118–120).</t>
  </si>
  <si>
    <t>Combined D&amp;A</t>
  </si>
  <si>
    <t>% Opening</t>
  </si>
  <si>
    <t>the D&amp;A rate is an accounting estimate on the opening asset base (FY2024–25: 6.9–7.4%). Capex scenarios already flow into D&amp;A through the asset base; a single input applies to all scenarios. | Term (N): held at the 2030 rate.</t>
  </si>
  <si>
    <t>D&amp;A allocated to PP&amp;E</t>
  </si>
  <si>
    <t>c.85% of D&amp;A relates to PP&amp;E (incl. right-of-use assets), the remainder to intangibles; a structural split, not scenario-dependent. | Term (N): held at the 2030 split.</t>
  </si>
  <si>
    <t>Equity &amp; Dividend Drivers</t>
  </si>
  <si>
    <t>Dividend payout ratio</t>
  </si>
  <si>
    <t>% Net Profit</t>
  </si>
  <si>
    <t>Best Case: dividend per share rises CHF 0.10 a year from 2027 (CHF 3.10 paid in April 2026 = c.CHF 8.0bn cash), funded by stronger profit and cash flow. Payout back-solved from Best Case net profit. | Term (N), all scenarios: held at 2030. Financing items do not affect UFCF; shown for completeness.</t>
  </si>
  <si>
    <t>Base Case: reflects the progressive dividend – CHF 3.10/share paid April 2026 (c.CHF 8.0bn, already paid), then +CHF 0.05/share a year, in line with the FY2025 increase. Payout (79–87% of reported net profit) is back-solved from Base Case net profit and should be re-checked if margin inputs change.</t>
  </si>
  <si>
    <t>Worst Case: 2026 fixed at the CHF 8.0bn already paid. From 2027 the payout input is set at 70%, so the dividend floor holds the prior-year dividend, capped at 100% of net profit (cell F186).</t>
  </si>
  <si>
    <t>Treasury share purchases</t>
  </si>
  <si>
    <t>Best Case: buybacks resume from 2027 and scale to CHF 4bn a year as leverage reaches the middle of the 2–3x target range (Nestlé bought back CHF 4.7–5.2bn a year in 2023–24). Executed only when prior-year leverage is within the ceiling (F185). | Term (N): held at 2030 (financing item, no impact on UFCF).</t>
  </si>
  <si>
    <t>Base Case: nil in 2026–27 (no programme in place; management prioritises the dividend and net debt reduction, with buybacks only from excess cash), then CHF 1.0–2.0bn a year. Leverage-gated (F185): Base Case model leverage falls below the 3.0x ceiling in 2029 (c.2.9x), so the first buyback (CHF 2.0bn) is executed in 2030.</t>
  </si>
  <si>
    <t>Worst Case: no buybacks; all surplus cash goes to protecting the dividend and the balance sheet.</t>
  </si>
  <si>
    <t>Dividends received from associates &amp; JV</t>
  </si>
  <si>
    <t>Best Case: 6.5% of the opening balance throughout, supported by a progressive L'Oreal dividend and distributions from the new waters JV (Peranel) once established. | Term (N): held at 2030 (associates' dividends are excluded from UFCF; the stake is valued in the equity bridge).</t>
  </si>
  <si>
    <t>Base Case: ordinary distributions ran at 5.3-5.8% of the opening balance in FY2024-25, excluding the CHF 2.0bn extraordinary Froneri distribution in 2025; the lower 2026 opening base lifts the ratio to c.6%.</t>
  </si>
  <si>
    <t>Worst Case: 2026 close to Base (main dividends received in H1); associates cut distributions to 4.5-5.0% in the 2027-29 downturn.</t>
  </si>
  <si>
    <t>Dividends to NCI</t>
  </si>
  <si>
    <t>% NCI Profit</t>
  </si>
  <si>
    <t>dividends to NCI are small (c.CHF 0.2bn) and follow subsidiary policy; held at 75% of NCI profit, within the FY2023-25 range (60-108%). | Term (N): held at 2030 (financing item, no impact on UFCF).</t>
  </si>
  <si>
    <t>Other Inputs: Part 1</t>
  </si>
  <si>
    <t>Other Annual Inputs</t>
  </si>
  <si>
    <t>Financial Debt</t>
  </si>
  <si>
    <t>Increase / (Decrease)</t>
  </si>
  <si>
    <t>Year-on-year change in total financial debt: modest deleveraging in 2026–27 (FY2025: –9.0%), stable in 2028 and modest growth from 2029 in line with the business. Any short-term funding need is met by the revolving credit line. The c.CHF 2.8bn Peranel JV proceeds expected in H1 2027 are not modelled and would accelerate deleveraging. | Term (N): held at 2030 (financing item, no impact on UFCF).</t>
  </si>
  <si>
    <t>Current Portion</t>
  </si>
  <si>
    <t>% Financial Debt</t>
  </si>
  <si>
    <t>Share of financial debt maturing within one year, held at 20%: the FY2025 level and the top of the FY2023–25 range (17–20%). Affects only the current/non-current split and liquidity ratios, not cash. | Term (N): held at 2030 (classification only).</t>
  </si>
  <si>
    <t>Non-cash charges</t>
  </si>
  <si>
    <t>% Other Exp.</t>
  </si>
  <si>
    <t>Share of other trading and other operating expenses that is non-cash (impairments, write-downs), added back in the cash flow and written off against goodwill. Impairments were 27%, 37% and 37% of these expenses in FY2023–25; 35% applied. Restructuring is treated as cash. | Term (N): set to 0% – the terminal year is normalised with no non-cash impairment add-back, so the perpetuity cash flow reflects only recurring cash costs (recurring write-downs effectively represent capital consumed).</t>
  </si>
  <si>
    <t>Dates</t>
  </si>
  <si>
    <t>Taxes</t>
  </si>
  <si>
    <t>First Year of Forecast</t>
  </si>
  <si>
    <t>(YYYY)</t>
  </si>
  <si>
    <t>Tax Rate</t>
  </si>
  <si>
    <t>Effective tax rate on profit before tax, associates and JV. 23.5% sits between the underlying rate (22.1% FY2025; 22.3% H1 2026) and the reported rate (24.6% FY2025), allowing for recurring non-deductible items and the OECD Pillar Two 15% minimum tax. Cash taxes come from the tax depreciation schedule; the timing difference is recorded in deferred tax liabilities. | The same rate drives unlevered cash taxes in the UFCF and the after-tax cost of debt in the WACC (cell N246).</t>
  </si>
  <si>
    <t>Days in Period</t>
  </si>
  <si>
    <t>First Year Tax Depreciation</t>
  </si>
  <si>
    <t>Share of current-year capex added to the tax depreciation base in the year of spend (partial-year convention); the full amount enters the base from the following year.</t>
  </si>
  <si>
    <t>Blended Tax Depreciation Rate</t>
  </si>
  <si>
    <t>Blended tax depreciation rate on the tax basis (8%), slightly above the book D&amp;A rate (c.7%), reflecting moderately accelerated tax allowances; the resulting timing difference builds a deferred tax liability.</t>
  </si>
  <si>
    <t>Tax Basis for Assets</t>
  </si>
  <si>
    <t>Opening tax basis of depreciable assets, proxied to the FY2025 net book value of PP&amp;E and intangible assets (CHF 49,222m), as the tax basis is not disclosed. Both PP&amp;E and intangible capex and D&amp;A flow through the tax schedule, consistent with this base.</t>
  </si>
  <si>
    <t>Tax Losses</t>
  </si>
  <si>
    <t>Opening tax loss carryforwards assumed nil, given the Group's consistent consolidated profitability (not disclosed).</t>
  </si>
  <si>
    <t>Other Single Inputs</t>
  </si>
  <si>
    <t>Interest Rates</t>
  </si>
  <si>
    <t>Cash &amp; ST Investment</t>
  </si>
  <si>
    <t>Interest rate earned on cash and short-term investments, applied to opening balances. Set below the FY2025 implied yield (3.8%; FY2024: 6.1%) to reflect lower CHF and EUR short-term rates.</t>
  </si>
  <si>
    <t>Non-controlling interests, % of profit</t>
  </si>
  <si>
    <t>F182 – NCI share of profit, held near the FY23–25 average (2.4–2.6%). | M182 – Interest rate on opening financial debt (2.9%): FY2025 financial expense equalled 2.9% of opening debt, and Nestlé reports an average cost of net debt of 2.5–2.6% (FY2025, H1 2026); the small cushion covers refinancing of maturing low-coupon debt. | M182 is also the pre-tax cost of debt in the WACC (cell N245), keeping the valuation consistent with the operating model.</t>
  </si>
  <si>
    <t>R&amp;D Cost</t>
  </si>
  <si>
    <t>Revolving Credit Line</t>
  </si>
  <si>
    <t>F183 – R&amp;D cost, held at the FY23–25 average (1.8% of sales). | M183 – Interest rate on the revolving credit line (4.2%), priced at a spread above term debt in line with typical committed-facility pricing.</t>
  </si>
  <si>
    <t>Minimum cash balance (CHF m)</t>
  </si>
  <si>
    <t>Minimum operating cash balance. If cash would fall below this level, the revolving credit line is drawn; surplus cash repays the facility first. Set below the FY2023–25 range (CHF 4.6–5.6bn) as a working-cash floor for a group of this size.</t>
  </si>
  <si>
    <t>Buyback ceiling, net debt / EBITDA (x)</t>
  </si>
  <si>
    <t>Share buybacks are executed only when prior-year net debt / EBITDA is at or below this ceiling. Management has publicly stated an aim of roughly 2.5x on its own definition; this model's stricter basis (reported EBITDA, cash only) ran about 0.5x higher in FY2025 (3.35x vs c.2.85x), so 3.0x is the equivalent threshold.</t>
  </si>
  <si>
    <t>Maximum payout ratio under dividend floor</t>
  </si>
  <si>
    <t>Upper limit for the progressive-dividend floor: the prior-year dividend is maintained only up to this share of profit attributable to shareholders. A deliberate prudence choice: Nestlé has maintained or increased its dividend for 66 years, so in a deep downturn management may hold the dividend above 100% payout.</t>
  </si>
  <si>
    <t>Other Inputs: Part 2</t>
  </si>
  <si>
    <t>Equity Bridge Items (at Valuation Date)</t>
  </si>
  <si>
    <t>Valuation Date</t>
  </si>
  <si>
    <t>(YY-MM-DD)</t>
  </si>
  <si>
    <t>Net Debt</t>
  </si>
  <si>
    <t>Valuation date 30 Jun 2026, aligned with the latest published balance sheet (H1 2026 Half-Year Report), so the bridge uses net debt at the same date – after the CHF 8.0bn dividend paid in April 2026. FY2026 UFCF is therefore pro-rated to the second half (50%). | N196: net financial debt CHF 56.3bn at 30 Jun 2026 (Nestlé H1 2026 results; down from CHF 60bn a year earlier).</t>
  </si>
  <si>
    <t>First Expected Cash Flow</t>
  </si>
  <si>
    <t>Non-controlling interests</t>
  </si>
  <si>
    <t>First expected cash flow = mid-point of the H2 2026 stub (mid-year convention); subsequent cash flows fall on 30 Jun of each forecast year. | N197: non-controlling interests CHF 248m = FY2025 book value (latest full-year disclosure; immaterial).</t>
  </si>
  <si>
    <t>First Fiscal Year End for Forecast</t>
  </si>
  <si>
    <t>Associates &amp; JV (L'Oréal at market)</t>
  </si>
  <si>
    <t>N198: associates &amp; JV are valued outside the DCF because their income is excluded from EBIT and UFCF. The L'Oréal stake is listed, so it is taken at market value (rows 207–211) – the best available evidence of value. Other associates and JVs (e.g. Cereal Partners, Froneri) are conservatively excluded (N211 = 0).</t>
  </si>
  <si>
    <t>Net pension deficit (debt-like)</t>
  </si>
  <si>
    <t>N199: net pension deficit CHF 887m = employee benefit liabilities CHF 2,299m less employee benefit assets CHF 1,412m (FY2025 balance sheet), treated as a debt-like claim.</t>
  </si>
  <si>
    <t>Valuation</t>
  </si>
  <si>
    <t>Sum-of-the-Parts: Listed Associate (L'Oréal)</t>
  </si>
  <si>
    <t>Nestlé stake in L'Oréal</t>
  </si>
  <si>
    <t>F207: 2,573m shares = weighted average shares outstanding H1 2026 (issued 2,576.5m less treasury shares); no material dilutive instruments. | N207: Nestlé holds 20.1% of L'Oréal.</t>
  </si>
  <si>
    <t>L'Oréal market cap (EUR mm)</t>
  </si>
  <si>
    <t>F208: CHF 74.63 = SIX closing price on 1 Oct 2026 (52-week range CHF 70.29–87.09); refresh before each release. | N208: L'Oréal market capitalisation EUR 198.4bn = EUR 371.75 closing price on 1 Oct 2026 × c.533.8m shares outstanding.</t>
  </si>
  <si>
    <t>Terminal Growth Rate 1</t>
  </si>
  <si>
    <t>EUR/CHF</t>
  </si>
  <si>
    <t>F209: terminal growth is linked to the Term sales growth of the running scenario (cell N10), so the terminal-year cash flow and the Gordon-growth rate always use the same assumption. | N209: EUR/CHF 0.93 (spot, early Oct 2026).</t>
  </si>
  <si>
    <t xml:space="preserve">Terminal EBITDA Multiple </t>
  </si>
  <si>
    <t>Holding discount</t>
  </si>
  <si>
    <t>F210: 13.5x exit EV/EBITDA = steady-state multiple for a global staples leader (peers trade c.12–16x; Nestlé currently c.14x trailing, below its 10-year average of c.16–17x after the 2023–25 sector de-rating). Cross-check against the implied exit multiple on the Model sheet (perpetuity method). | N210: no holding discount (Swiss participation exemption limits tax leakage on a disposal); apply 10–20% if management prefers a conglomerate discount.</t>
  </si>
  <si>
    <t>Weighted Average Cost of Capital (WACC)</t>
  </si>
  <si>
    <t>Other associates &amp; JV (book, CHF mm)</t>
  </si>
  <si>
    <t>F211: WACC from the WACC build-up below (cell N257). | N211: other associates &amp; JV set to nil (conservative).</t>
  </si>
  <si>
    <t>Terminal Growth Greater Than or Equal To WACC?</t>
  </si>
  <si>
    <t>Weighted Average Cost of Capital</t>
  </si>
  <si>
    <t>Average</t>
  </si>
  <si>
    <t>Debt/</t>
  </si>
  <si>
    <t>Levered</t>
  </si>
  <si>
    <t>Unlevered</t>
  </si>
  <si>
    <t>Name</t>
  </si>
  <si>
    <t>Region</t>
  </si>
  <si>
    <t>Debt</t>
  </si>
  <si>
    <t>Tax Rate 1</t>
  </si>
  <si>
    <t>Capital</t>
  </si>
  <si>
    <t>Beta 2</t>
  </si>
  <si>
    <t>Beta 3</t>
  </si>
  <si>
    <t>Danone</t>
  </si>
  <si>
    <t>Europe (FR)</t>
  </si>
  <si>
    <t>Peer set: Danone, PepsiCo, Coca-Cola, Unilever and Mondelez – global packaged-food / beverage / HPC staples with Nestlé-like scale, brand portfolios and emerging-market exposure. Equity = market capitalisation around 22–23 Sep 2026; debt = latest reported gross financial debt incl. leases (approx.). Converted to CHF at USD/CHF 0.79 and EUR/CHF 0.93 – only the D/E ratios matter.</t>
  </si>
  <si>
    <t>PepsiCo</t>
  </si>
  <si>
    <t>N. America (US)</t>
  </si>
  <si>
    <t>Tax rate = 5-year average effective tax rate (approx.). Levered beta = 5-year monthly vs local index, Bloomberg/Blume-adjusted (0.67 × raw + 0.33): raw staples betas (c.0.40–0.55) understate forward-looking systematic risk and mean-revert toward 1.0.</t>
  </si>
  <si>
    <t>Coca cola</t>
  </si>
  <si>
    <t>Values are approximate public-source estimates as of Sep 2026; refresh H:J and M from Bloomberg/CapIQ before external distribution.</t>
  </si>
  <si>
    <t>Unilever</t>
  </si>
  <si>
    <t>Europe (UK)</t>
  </si>
  <si>
    <t>Unilever: capital structure after the Magnum Ice Cream demerger (Dec 2025).</t>
  </si>
  <si>
    <t>Mondelez</t>
  </si>
  <si>
    <t>Median</t>
  </si>
  <si>
    <t>Risk Premium for Equity</t>
  </si>
  <si>
    <t>Cost of Equity</t>
  </si>
  <si>
    <t>Market Risk Premium</t>
  </si>
  <si>
    <t>Risk Free Rate</t>
  </si>
  <si>
    <t>F236: market risk premium 6.0% – Swiss practitioner range 5.5–6.5% (KPMG/IFBC MRP studies; Damodaran implied mature-market ERP c.4.5% plus CHF-market adjustment). | N236: risk-free rate 1.0% = normalised CHF rate (c.20-year average Swiss 10Y Confederation yield). The spot yield (c.0.35–0.40% in 2026) is depressed by the SNB's 0% policy rate and safe-haven flows; using spot would overstate value. Currency-consistent with the CHF cash flows.</t>
  </si>
  <si>
    <t>Average Unlevered Beta</t>
  </si>
  <si>
    <t>Equity Risk Premium</t>
  </si>
  <si>
    <t>F237: average unlevered beta of the five peers (Hamada).</t>
  </si>
  <si>
    <t>Levered Beta 4</t>
  </si>
  <si>
    <t>Country Risk Premium</t>
  </si>
  <si>
    <t>F238: relevered at Nestlé's target D/E (F250) and Nestlé's tax rate. | N238: country risk premium 1.0%, operations-weighted: c.40–45% of Nestlé sales come from emerging markets × c.2.3% average EM CRP (Damodaran 2026). Nestlé is Swiss-listed but its cash flows are global.</t>
  </si>
  <si>
    <t>Capital Structure</t>
  </si>
  <si>
    <t>Cost of Debt</t>
  </si>
  <si>
    <t>Current</t>
  </si>
  <si>
    <t>Target</t>
  </si>
  <si>
    <t>Pre-Tax Cost of Debt</t>
  </si>
  <si>
    <t>D246: total financial debt CHF 62.9bn at 30 Jun 2026 (current + non-current incl. leases = net debt CHF 56.3bn + cash &amp; short-term investments). D247: market cap = live link, shares (F207) × price (F208). | N245: pre-tax cost of debt linked to the interest rate on financial debt in the operating model (M182, 2.9%), a blended CHF/EUR/USD rate – conservative vs a pure CHF basis (normalised Rf 1.0% + AA- spread ≈ 1.8%).</t>
  </si>
  <si>
    <t>Total Debt</t>
  </si>
  <si>
    <t>F246: target debt / capital 25% (current c.25% at market value), consistent with Nestlé's commitment to a strong single-A/AA- rating and net debt / EBITDA of c.2.5–3.0x. | N246: tax = model effective tax rate (M173) – the same rate used in the UFCF.</t>
  </si>
  <si>
    <t>Market Capitalization</t>
  </si>
  <si>
    <t>After-Tax Cost of Debt</t>
  </si>
  <si>
    <t>Total Capitalization</t>
  </si>
  <si>
    <t>Debt / Equity</t>
  </si>
  <si>
    <t>Weight</t>
  </si>
  <si>
    <t>Cost</t>
  </si>
  <si>
    <t xml:space="preserve">Tax Rate is a 5-Year Average. </t>
  </si>
  <si>
    <t>Debt Capital</t>
  </si>
  <si>
    <t xml:space="preserve">Levered beta is based on 5-year monthly data. </t>
  </si>
  <si>
    <t>Equity Capital</t>
  </si>
  <si>
    <t xml:space="preserve">Unlevered Beta = Levered Beta / (1 + (1 - Tax Rate) × Debt-to-Equity) </t>
  </si>
  <si>
    <t xml:space="preserve">Levered Beta = Unlevered Beta x (1 + (1 - Tax rate) x (Debt-to-Equity)) </t>
  </si>
  <si>
    <t>WACC c.5.1% (CHF). Sanity check: Swiss sell-side typically uses 5.0–6.5% CHF WACC for Nestlé. A CHF WACC is structurally lower than a USD WACC because CHF rates and inflation are lower – the terminal growth rate (1.5%) is set on the same CHF basis.</t>
  </si>
  <si>
    <t>Sales growth</t>
  </si>
  <si>
    <t>Other revenue</t>
  </si>
  <si>
    <t>Cost of goods sold</t>
  </si>
  <si>
    <t>Distribution expenses</t>
  </si>
  <si>
    <t>Marketing &amp; administration expenses</t>
  </si>
  <si>
    <t>R&amp;D costs</t>
  </si>
  <si>
    <t>Other trading income</t>
  </si>
  <si>
    <t>Other trading expenses</t>
  </si>
  <si>
    <t>Other operating income</t>
  </si>
  <si>
    <t>Other operating expenses</t>
  </si>
  <si>
    <t>Effective tax rate</t>
  </si>
  <si>
    <t>Income from associates &amp; JV</t>
  </si>
  <si>
    <t>Non-cash share of other trading &amp; operating expenses</t>
  </si>
  <si>
    <t>Dividend payout ratio, % of net profit (parent)</t>
  </si>
  <si>
    <t>Dividends to NCI, % of NCI profit</t>
  </si>
  <si>
    <t>Treasury share purchases, CHF mm/year</t>
  </si>
  <si>
    <t>Dividends received from associates &amp; JV, % of opening balance</t>
  </si>
  <si>
    <t>Working Capital Schedule</t>
  </si>
  <si>
    <t>Revenue</t>
  </si>
  <si>
    <t>AMOUNTS PER DAY</t>
  </si>
  <si>
    <t>Accounts Receivable  (Days)</t>
  </si>
  <si>
    <t>Inventory  (Days)</t>
  </si>
  <si>
    <t>Accounts Payable  (Days)</t>
  </si>
  <si>
    <t>Prepayments  (Days)</t>
  </si>
  <si>
    <t>Accruals  (Days)</t>
  </si>
  <si>
    <t>TOTAL AMOUNTS</t>
  </si>
  <si>
    <t>Accounts Receivable</t>
  </si>
  <si>
    <t>Inventory</t>
  </si>
  <si>
    <t>Accounts Payable</t>
  </si>
  <si>
    <t>CASH CHANGES</t>
  </si>
  <si>
    <t>Cash from Working Capital Items</t>
  </si>
  <si>
    <t>Asset Schedule</t>
  </si>
  <si>
    <t>Capital Expenditure</t>
  </si>
  <si>
    <t>Capex, % of sales</t>
  </si>
  <si>
    <t>Capital Expenditure — PP&amp;E</t>
  </si>
  <si>
    <t>Intangible capex, % of sales</t>
  </si>
  <si>
    <t>Capital Expenditure — Intangible assets</t>
  </si>
  <si>
    <t>TOTAL DEPRECIATION &amp; AMORTIZATION</t>
  </si>
  <si>
    <t>Combined D&amp;A rate, % of opening PP&amp;E + intangibles</t>
  </si>
  <si>
    <t>D&amp;A allocated to PP&amp;E (remainder to intangibles), %</t>
  </si>
  <si>
    <t>Property, plant and equipment</t>
  </si>
  <si>
    <t>Intangible assets</t>
  </si>
  <si>
    <t>Total Depreciation &amp; Amortization</t>
  </si>
  <si>
    <t xml:space="preserve">  Depreciation — PP&amp;E</t>
  </si>
  <si>
    <t xml:space="preserve">  Amortization — Intangible assets</t>
  </si>
  <si>
    <t>PROPERTY, PLANT &amp; EQUIPMENT</t>
  </si>
  <si>
    <t>Beginning</t>
  </si>
  <si>
    <t>Depreciation</t>
  </si>
  <si>
    <t>Other movements (FX, leases, impairments, disposals)</t>
  </si>
  <si>
    <t>Ending</t>
  </si>
  <si>
    <t>INTANGIBLE ASSETS</t>
  </si>
  <si>
    <t>Amortization</t>
  </si>
  <si>
    <t>Other movements (FX, acquisitions, impairments, disposals)</t>
  </si>
  <si>
    <t>TAX BASIS</t>
  </si>
  <si>
    <t>Tax Depreciation</t>
  </si>
  <si>
    <t>Model uses a blended D&amp;A rate on opening net book value , consistent with the level of disclosure in Nestlé's consolidated statements. All PP&amp;E and intangible capex is depreciated/amortized on this blended basis;</t>
  </si>
  <si>
    <t xml:space="preserve"> Historical 'Other movements' reconcile the PP&amp;E and intangibles roll-forwards to reported balances (FX, leases, impairments, disposals); the forecast assumes none, so the asset base moves only with capex and D&amp;A.</t>
  </si>
  <si>
    <t>Income Tax Schedule (Levered)</t>
  </si>
  <si>
    <t>EBT</t>
  </si>
  <si>
    <t>Profitable Before Tax?</t>
  </si>
  <si>
    <t>Unused Tax Loss Remaining</t>
  </si>
  <si>
    <t>ADJUSTMENT FOR DEPRECIATION</t>
  </si>
  <si>
    <t>Add: Accounting Depreciation</t>
  </si>
  <si>
    <t>Less: Tax Depreciation</t>
  </si>
  <si>
    <t>EBT After Adjustment</t>
  </si>
  <si>
    <t>ADJUSTMENT FOR TAX LOSSES 1</t>
  </si>
  <si>
    <t>Less: Use of Tax Losses 2</t>
  </si>
  <si>
    <t>Taxable Income</t>
  </si>
  <si>
    <t>TAX LOSSES</t>
  </si>
  <si>
    <t>Add: New Losses</t>
  </si>
  <si>
    <t>Less: Use of Tax Losses</t>
  </si>
  <si>
    <t>TAXES</t>
  </si>
  <si>
    <t>Current Taxes</t>
  </si>
  <si>
    <t>Deferred Taxes</t>
  </si>
  <si>
    <t>Total Taxes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</si>
  <si>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</si>
  <si>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</si>
  <si>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>Income Tax Schedule (Unlevered)</t>
  </si>
  <si>
    <t>EBIT</t>
  </si>
  <si>
    <t>EBIT After Adjustment</t>
  </si>
  <si>
    <t>Unlevered Free Cash Flow Schedule</t>
  </si>
  <si>
    <t>TAX SHIELD FROM INTEREST</t>
  </si>
  <si>
    <t>Line Item</t>
  </si>
  <si>
    <t>Current Taxes (Unlevered)</t>
  </si>
  <si>
    <t>Current Taxes (Levered)</t>
  </si>
  <si>
    <t>Total Tax Shield</t>
  </si>
  <si>
    <t>EBITDA METHOD</t>
  </si>
  <si>
    <t>EBITDA (before non-cash impairment)</t>
  </si>
  <si>
    <t>Change in Working Capital</t>
  </si>
  <si>
    <t>Unlevered Free Cash Flow</t>
  </si>
  <si>
    <t>NET INCOME METHOD</t>
  </si>
  <si>
    <t>Net Income (excl. income from associates &amp; JV)</t>
  </si>
  <si>
    <t>D&amp;A and non-cash impairment</t>
  </si>
  <si>
    <t>Deferred Tax</t>
  </si>
  <si>
    <t>Interest Expense</t>
  </si>
  <si>
    <t>Tax Shield From Interest</t>
  </si>
  <si>
    <t>UFCF → FREE CASH FLOW</t>
  </si>
  <si>
    <t>Less: Net interest paid / received</t>
  </si>
  <si>
    <t>Plus: Tax shield &amp; tax timing (unlevered tax − taxes paid)</t>
  </si>
  <si>
    <t>Plus: Dividends received from associates &amp; JV</t>
  </si>
  <si>
    <t>Free Cash Flow (OCF − Capex − Intangibles)</t>
  </si>
  <si>
    <t xml:space="preserve">Terminal-year capex is set at steady-state reinvestment (D&amp;A plus terminal growth on the opening asset base), so the asset base grows in line with the terminal growth rate. </t>
  </si>
  <si>
    <t xml:space="preserve">The terminal year assumes no deferred taxes and no non-cash impairment add-back (normalised). </t>
  </si>
  <si>
    <t>Discounted Cash Flow Schedule: Perpetuity Method</t>
  </si>
  <si>
    <t>Discrete Forecast</t>
  </si>
  <si>
    <t>Terminal Growth</t>
  </si>
  <si>
    <t>Fiscal Year End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</si>
  <si>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</si>
  <si>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</si>
  <si>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</si>
  <si>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</si>
  <si>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</si>
  <si>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</si>
  <si>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</si>
  <si>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</si>
  <si>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</si>
  <si>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</si>
  <si>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PV of Discrete</t>
  </si>
  <si>
    <t>XNPV Function 1</t>
  </si>
  <si>
    <t>PV of Terminal</t>
  </si>
  <si>
    <t>Enterprise Value</t>
  </si>
  <si>
    <t>Implied Exit EV/EBITDA</t>
  </si>
  <si>
    <t>EQUITY VALUE</t>
  </si>
  <si>
    <t>EQUITY VALUE PER SHARE</t>
  </si>
  <si>
    <t>Less: Net Debt</t>
  </si>
  <si>
    <t>Less: Non-controlling interests</t>
  </si>
  <si>
    <t>Plus: Associates &amp; JV (L'Oréal at market)</t>
  </si>
  <si>
    <t>Current Share Price</t>
  </si>
  <si>
    <t>Less: Net pension deficit</t>
  </si>
  <si>
    <t>Upside / (Downside)</t>
  </si>
  <si>
    <t xml:space="preserve">The Enterprise Value from the XNPV Function is slightly different due to treatment of leap years. </t>
  </si>
  <si>
    <t>Discounted Cash Flow Schedule: Multiple Method</t>
  </si>
  <si>
    <t>EBITDA</t>
  </si>
  <si>
    <t>Terminal</t>
  </si>
  <si>
    <t>Terminal Value 1</t>
  </si>
  <si>
    <t>Adjustment</t>
  </si>
  <si>
    <t>XNPV Function 2</t>
  </si>
  <si>
    <t>Implied Perpetuity Growth</t>
  </si>
  <si>
    <t xml:space="preserve">We have applied an LTM multiple to the EBITDA at the end of the terminal year to calculate the Terminal Value. </t>
  </si>
  <si>
    <t xml:space="preserve">The Enterprise Value from the XNPV Function is slightly different from the Manual Method due to treatment of leap years. </t>
  </si>
  <si>
    <t>Investments in Associates &amp; JV Schedule</t>
  </si>
  <si>
    <t>Investments in associates and joint ventures</t>
  </si>
  <si>
    <t>Income from associates and joint ventures</t>
  </si>
  <si>
    <t>Investments (net of divestments) in associates and JV</t>
  </si>
  <si>
    <t xml:space="preserve">Associates &amp; JV — closing balance </t>
  </si>
  <si>
    <t>Debt Schedule: Part 1</t>
  </si>
  <si>
    <t>CASH &amp; SHORT-TERM INVESTMENTS</t>
  </si>
  <si>
    <t>Beginning Balance</t>
  </si>
  <si>
    <t>Ending Balance</t>
  </si>
  <si>
    <t>Interest Rate</t>
  </si>
  <si>
    <t>Interest Income</t>
  </si>
  <si>
    <t>FINANCIAL DEBT</t>
  </si>
  <si>
    <t>Increase / (Decrease), % YoY</t>
  </si>
  <si>
    <t xml:space="preserve">  of which: current portion, %</t>
  </si>
  <si>
    <t xml:space="preserve">  of which: Current portion</t>
  </si>
  <si>
    <t xml:space="preserve">  of which: Non-current portion</t>
  </si>
  <si>
    <t>Debt Schedule: Part 2</t>
  </si>
  <si>
    <t>AVAILABLE CASH</t>
  </si>
  <si>
    <t>Beginning Cash Balance</t>
  </si>
  <si>
    <t>Cash from Operations</t>
  </si>
  <si>
    <t>Cash from Investing</t>
  </si>
  <si>
    <t>Cash from Financing (Exclude Revolver)</t>
  </si>
  <si>
    <t>Currency retranslations</t>
  </si>
  <si>
    <t>Cash Available for Revolving Credit Line</t>
  </si>
  <si>
    <t>REVOLVING CREDIT LINE</t>
  </si>
  <si>
    <t>NET INTEREST</t>
  </si>
  <si>
    <t>Less: Interest Income</t>
  </si>
  <si>
    <t>Net Interest Expense</t>
  </si>
  <si>
    <t>Equity Schedule</t>
  </si>
  <si>
    <t>RETAINED EARNINGS</t>
  </si>
  <si>
    <t>Net Income</t>
  </si>
  <si>
    <t>Dividends paid to parent shareholders</t>
  </si>
  <si>
    <t>NCI</t>
  </si>
  <si>
    <t>NCI Profit</t>
  </si>
  <si>
    <t>Acquisition (net) of NCI</t>
  </si>
  <si>
    <t>Dividends paid to NCI</t>
  </si>
  <si>
    <t>TREASURY SHARES</t>
  </si>
  <si>
    <t>Treasury Share Purchase</t>
  </si>
  <si>
    <t>Income Statement</t>
  </si>
  <si>
    <t>Sales</t>
  </si>
  <si>
    <t>Marketing and administration expenses</t>
  </si>
  <si>
    <t>Research and development costs</t>
  </si>
  <si>
    <t>Trading operating profit</t>
  </si>
  <si>
    <t>Operating profit</t>
  </si>
  <si>
    <t>Financial income</t>
  </si>
  <si>
    <t>Financial expense</t>
  </si>
  <si>
    <t>Profit before taxes, associates and joint ventures</t>
  </si>
  <si>
    <t>Profit for the year</t>
  </si>
  <si>
    <t>of which attributable to non-controlling interests</t>
  </si>
  <si>
    <t>of which attributable to shareholders of the parent</t>
  </si>
  <si>
    <t>Cash Flow Statement</t>
  </si>
  <si>
    <t>Operating activities</t>
  </si>
  <si>
    <t>Depreciation and amortization</t>
  </si>
  <si>
    <t>Impairment</t>
  </si>
  <si>
    <t>Net result on disposal of businesses</t>
  </si>
  <si>
    <t>Other non-cash items of income and expense</t>
  </si>
  <si>
    <t>Cash flow before changes in operating assets and liabilities</t>
  </si>
  <si>
    <t>Decrease/(increase) in working capital</t>
  </si>
  <si>
    <t>Variation of other operating assets and liabilities</t>
  </si>
  <si>
    <t>Cash generated from operations</t>
  </si>
  <si>
    <t>Interest paid</t>
  </si>
  <si>
    <t>Interest and dividends received</t>
  </si>
  <si>
    <t>Taxes paid</t>
  </si>
  <si>
    <t>Dividends and other distributions from associates and JV</t>
  </si>
  <si>
    <t>Operating cash flow</t>
  </si>
  <si>
    <t>Investing activities</t>
  </si>
  <si>
    <t>Capital expenditure</t>
  </si>
  <si>
    <t>Acquisition of businesses, net of cash acquired</t>
  </si>
  <si>
    <t>Disposal of businesses, net of cash disposed of</t>
  </si>
  <si>
    <t>Inflows/(outflows) from treasury investments</t>
  </si>
  <si>
    <t>Acquisition (net) in long-term investments</t>
  </si>
  <si>
    <t>Other investing activities</t>
  </si>
  <si>
    <t>Investing cash flow</t>
  </si>
  <si>
    <t>Financing activities</t>
  </si>
  <si>
    <t>Dividend paid to shareholders of the parent</t>
  </si>
  <si>
    <t>Dividends paid to non-controlling interests</t>
  </si>
  <si>
    <t>Acquisition (net) of non-controlling interests</t>
  </si>
  <si>
    <t>Purchase of treasury shares</t>
  </si>
  <si>
    <t>Inflows from bonds and other long-term financial debt</t>
  </si>
  <si>
    <t>Outflows from bonds, lease liabilities and other long-term financial debt</t>
  </si>
  <si>
    <t>Inflows/(outflows) from short-term financial debt</t>
  </si>
  <si>
    <t>Change in Revolving Credit Line</t>
  </si>
  <si>
    <t>Financing cash flow</t>
  </si>
  <si>
    <t>Increase/(decrease) in cash and cash equivalents</t>
  </si>
  <si>
    <t>Cash and cash equivalents at beginning of year</t>
  </si>
  <si>
    <t>Cash and cash equivalents at end of year</t>
  </si>
  <si>
    <t>Cash and cash equivalents classified as held for sale</t>
  </si>
  <si>
    <t>Cash and cash equivalents as per balance sheet</t>
  </si>
  <si>
    <t>Balance Sheet</t>
  </si>
  <si>
    <t>Assets — Current</t>
  </si>
  <si>
    <t>Cash and cash equivalents</t>
  </si>
  <si>
    <t>Short-term investments</t>
  </si>
  <si>
    <t>Inventories</t>
  </si>
  <si>
    <t>Trade and other receivables</t>
  </si>
  <si>
    <t>Derivative assets</t>
  </si>
  <si>
    <t>Current income tax assets</t>
  </si>
  <si>
    <t>Assets held for sale</t>
  </si>
  <si>
    <t>Total current assets</t>
  </si>
  <si>
    <t>Assets — Non-current</t>
  </si>
  <si>
    <t>Goodwill</t>
  </si>
  <si>
    <t>Financial assets</t>
  </si>
  <si>
    <t>Derivative assets (non-current)</t>
  </si>
  <si>
    <t>Employee benefits assets and reimbursement rights</t>
  </si>
  <si>
    <t>Deferred tax assets</t>
  </si>
  <si>
    <t>Total non-current assets</t>
  </si>
  <si>
    <t>Total assets</t>
  </si>
  <si>
    <t>Liabilities — Current</t>
  </si>
  <si>
    <t>Financial debt</t>
  </si>
  <si>
    <t>Derivative liabilities</t>
  </si>
  <si>
    <t>Trade and other payables</t>
  </si>
  <si>
    <t>Provisions</t>
  </si>
  <si>
    <t>Current income tax liabilities</t>
  </si>
  <si>
    <t>Liabilities directly associated with assets held for sale</t>
  </si>
  <si>
    <t>Total current liabilities</t>
  </si>
  <si>
    <t>Liabilities — Non-current</t>
  </si>
  <si>
    <t>Employee benefits liabilities</t>
  </si>
  <si>
    <t>Deferred tax liabilities</t>
  </si>
  <si>
    <t>Other payables</t>
  </si>
  <si>
    <t>Total non-current liabilities</t>
  </si>
  <si>
    <t>Total liabilities</t>
  </si>
  <si>
    <t>Share capital</t>
  </si>
  <si>
    <t>Treasury shares</t>
  </si>
  <si>
    <t>Translation reserve</t>
  </si>
  <si>
    <t>Other reserves</t>
  </si>
  <si>
    <t>Retained earnings</t>
  </si>
  <si>
    <t>Total equity attributable to shareholders of the parent</t>
  </si>
  <si>
    <t>Total equity</t>
  </si>
  <si>
    <t>Total liabilities and equity</t>
  </si>
  <si>
    <t>CHECK</t>
  </si>
  <si>
    <t xml:space="preserve">Notes: 2023A–2025A figures are hardcoded from Nestlé's published financial statements; 2026F–2030F are formula-driven from the Input sheet and mirror the 3-statement model line by line. Simplifications: no M&amp;A or business disposals; </t>
  </si>
  <si>
    <t xml:space="preserve">impairments are a non-cash share of other trading/operating expenses (Input row 168), added back in the cash flow and written off against goodwill; short-term investments and most other balance-sheet items held flat; FX/translation impact nil. </t>
  </si>
  <si>
    <t xml:space="preserve">Liquidity: the revolving credit line funds any shortfall below the minimum cash balance and is repaid first from surplus cash. Shareholder returns: progressive dividend floor (capped by a maximum payout) and buybacks subject to a leverage ceiling. </t>
  </si>
  <si>
    <t>Taxes: cash taxes from the tax depreciation schedule, timing differences in deferred tax liabilities.</t>
  </si>
  <si>
    <t>Mondelez: equity = USD 57.76 close on 1-Oct-2026 x 1,276m shares x USD/CHF 0.79 = CHF 58.2bn (corrects the previous USD 45.10 input, which sat below the 52-week range USD 51.20–66.65; same price as the Comparable Valuation model). Higher leverage and cocoa-cost exposure – slightly higher beta.</t>
  </si>
  <si>
    <r>
      <t>DISCLAIMER &amp; NOTICE OF INTENT</t>
    </r>
    <r>
      <rPr>
        <sz val="11"/>
        <color rgb="FF000000"/>
        <rFont val="Calibri"/>
        <family val="2"/>
        <scheme val="minor"/>
      </rPr>
      <t xml:space="preserve"> </t>
    </r>
  </si>
  <si>
    <t>1. Independent Portfolio Project: This financial model and dashboard were prepared solely by the author, in a personal capacity, to demonstrate</t>
  </si>
  <si>
    <t>skills in financial modeling and financial statement analysis. They do not reflect the views of any employer.</t>
  </si>
  <si>
    <t>2. Public Data Sources: Historical figures are drawn from publicly available sources (Nestlé Investor Relations / Annual Reports). Forecasts and</t>
  </si>
  <si>
    <t>scenarios (Best / Base / Worst) are the author's own illustrative assumptions, not forecasts issued by Nestlé.</t>
  </si>
  <si>
    <t>3. No Affiliation: This project is not affiliated with, authorized by, or endorsed by Nestlé S.A. Nestlé and related names and marks are the</t>
  </si>
  <si>
    <t>property of their respective owners and are used for identification only.</t>
  </si>
  <si>
    <t>4. No Advice: Nothing herein constitutes investment advice, equity research, or a recommendation to buy or sell any 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</si>
</sst>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3" formatCode="_(* #,##0.00_);_(* \(#,##0.00\);_(* &quot;-&quot;??_);_(@_)"/>
    <numFmt numFmtId="164" formatCode="[=1]&quot;Yes&quot;_);[=0]&quot;No&quot;_);General"/>
    <numFmt numFmtId="165" formatCode="#,##0_);\(#,##0\);\-"/>
    <numFmt numFmtId="166" formatCode="0&quot;A&quot;"/>
    <numFmt numFmtId="167" formatCode="0&quot;F&quot;"/>
    <numFmt numFmtId="168" formatCode="_(#,##0_)_%;\(#,##0\)_%;_(&quot;–&quot;_)_%;_(@_)_%"/>
    <numFmt numFmtId="169" formatCode="_-* #,##0_-;\(#,##0\)_-;_-* \-_-;_-@_-"/>
    <numFmt numFmtId="170" formatCode="_(#,##0_);\(#,##0\);_(&quot;–&quot;_);_(@_)"/>
    <numFmt numFmtId="171" formatCode="_(#,##0.0%_);\(#,##0.0%\);_(&quot;–&quot;_)_%;_(@_)_%"/>
    <numFmt numFmtId="172" formatCode="_(#,##0.00_);\(#,##0.00\);_(&quot;–&quot;_);_(@_)"/>
    <numFmt numFmtId="173" formatCode="0.0%"/>
    <numFmt numFmtId="174" formatCode="#,##0.00_);\(#,##0.00\);\-"/>
    <numFmt numFmtId="175" formatCode="_(#,##0.0_);\(#,##0.0\);_(&quot;–&quot;_);_(@_)"/>
    <numFmt numFmtId="176" formatCode="@\⁽\¹\⁾"/>
    <numFmt numFmtId="177" formatCode="_(0.0\x_);\(0.0\x\);_(&quot;–&quot;_);_(@_)"/>
    <numFmt numFmtId="178" formatCode="_(* #,##0_);_(* \(#,##0\);_(* &quot;-&quot;??_);_(@_)"/>
    <numFmt numFmtId="179" formatCode="_-* #,##0_-;\(#,##0\)_-;_-* &quot;-&quot;_-;_-@_-"/>
    <numFmt numFmtId="180" formatCode="yyyy/mm/dd_)"/>
    <numFmt numFmtId="181" formatCode="0000_)"/>
    <numFmt numFmtId="182" formatCode="&quot;Yes&quot;_);&quot;ERROR&quot;_);&quot;No&quot;_);&quot;ERROR&quot;_)"/>
    <numFmt numFmtId="183" formatCode="_(#,##0_)\⁽\¹\⁾;\(#,##0\)\⁽\¹\⁾;_(&quot;–&quot;_)\⁽\¹\⁾;_(@_)\⁽\¹\⁾"/>
    <numFmt numFmtId="184" formatCode="_(#,##0_)\⁽\²\⁾;\(#,##0\)\⁽\²\⁾;_(&quot;–&quot;_)\⁽\²\⁾;_(@_)\⁽\²\⁾"/>
    <numFmt numFmtId="185" formatCode="_(0.00\x_)_)_';_(\(0.00\x\)_'_';_(&quot;–&quot;_);_(@_)"/>
    <numFmt numFmtId="186" formatCode="0.00\x"/>
    <numFmt numFmtId="187" formatCode="@\⁽\²\⁾"/>
    <numFmt numFmtId="188" formatCode="@\⁽\³\⁾"/>
    <numFmt numFmtId="189" formatCode="@\⁽\⁴\⁾"/>
    <numFmt numFmtId="190" formatCode="0\F"/>
    <numFmt numFmtId="191" formatCode="0.0%;\(0.0%\);\-"/>
    <numFmt numFmtId="192" formatCode="#,##0;\(#,##0\);\-"/>
    <numFmt numFmtId="193" formatCode="0;\(0\);\-"/>
    <numFmt numFmtId="194" formatCode="0.0;\(0.0\);\-"/>
    <numFmt numFmtId="195" formatCode="_(* #,##0_);_(* \(#,##0\);_(* \-??_);_(@_)"/>
    <numFmt numFmtId="196" formatCode="&quot;Yes&quot;;&quot;ERROR&quot;;&quot;No&quot;;&quot;ERROR&quot;"/>
    <numFmt numFmtId="197" formatCode="_(#,##0%_);\(#,##0%\);_(&quot;–&quot;_)_%;_(@_)_%"/>
    <numFmt numFmtId="198" formatCode="yy/mm/dd"/>
    <numFmt numFmtId="199" formatCode="_(0.0000\x_);\(0.0000\x\);_(&quot;–&quot;_);_(@_)"/>
    <numFmt numFmtId="200" formatCode="_(#,##0%_);\(#,##0%\);_(\–_)_%;_(@_)_%"/>
    <numFmt numFmtId="201" formatCode="_(#,##0_);\(#,##0\);_(\–_);_(@_)"/>
    <numFmt numFmtId="202" formatCode="0.0\x"/>
    <numFmt numFmtId="203" formatCode="_(#,##0.00_);\(#,##0.00\);_(\–_);_(@_)"/>
    <numFmt numFmtId="204" formatCode="_(#,##0.0%_);\(#,##0.0%\);_(\–_)_%;_(@_)_%"/>
    <numFmt numFmtId="205" formatCode="@&quot;⁽²⁾&quot;"/>
    <numFmt numFmtId="206" formatCode="[=1]&quot;Best Case&quot;;[=2]&quot;Base Case&quot;;&quot;Worst Case&quot;"/>
    <numFmt numFmtId="207" formatCode="&quot;Best Case&quot;"/>
    <numFmt numFmtId="208" formatCode="&quot;Base Case&quot;"/>
    <numFmt numFmtId="209" formatCode="&quot;Worst Case&quot;"/>
    <numFmt numFmtId="210" formatCode="[=1]&quot;On&quot;;[=0]&quot;Off&quot;;General"/>
    <numFmt numFmtId="211" formatCode="[=0]&quot;☑&quot;;[Red]&quot;ERROR&quot;"/>
    <numFmt numFmtId="212" formatCode="0.00&quot;x&quot;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63513D"/>
      <name val="Segoe UI"/>
      <family val="2"/>
    </font>
    <font>
      <i/>
      <sz val="8"/>
      <color theme="1"/>
      <name val="Segoe UI"/>
      <family val="2"/>
    </font>
    <font>
      <sz val="11"/>
      <color rgb="FF0070C0"/>
      <name val="Segoe UI"/>
      <family val="2"/>
    </font>
    <font>
      <b/>
      <sz val="10"/>
      <color rgb="FF63513D"/>
      <name val="Segoe UI"/>
      <family val="2"/>
      <charset val="1"/>
    </font>
    <font>
      <sz val="11"/>
      <color theme="1"/>
      <name val="Segoe UI"/>
      <family val="2"/>
      <charset val="1"/>
    </font>
    <font>
      <sz val="10"/>
      <color rgb="FF000000"/>
      <name val="Segoe UI"/>
      <family val="2"/>
      <charset val="1"/>
    </font>
    <font>
      <b/>
      <sz val="10"/>
      <color theme="1"/>
      <name val="Segoe UI"/>
      <family val="2"/>
      <charset val="1"/>
    </font>
    <font>
      <i/>
      <sz val="10"/>
      <color theme="1"/>
      <name val="Segoe UI"/>
      <family val="2"/>
      <charset val="1"/>
    </font>
    <font>
      <b/>
      <sz val="10"/>
      <color rgb="FF1F4E78"/>
      <name val="Segoe UI"/>
      <family val="2"/>
      <charset val="1"/>
    </font>
    <font>
      <i/>
      <sz val="9"/>
      <color rgb="FF808080"/>
      <name val="Segoe UI"/>
      <family val="2"/>
      <charset val="1"/>
    </font>
    <font>
      <b/>
      <sz val="10"/>
      <name val="Segoe UI"/>
      <family val="2"/>
      <charset val="1"/>
    </font>
    <font>
      <b/>
      <sz val="10"/>
      <color rgb="FF000000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i/>
      <sz val="10"/>
      <name val="Segoe UI"/>
      <family val="2"/>
      <charset val="1"/>
    </font>
    <font>
      <b/>
      <i/>
      <sz val="10"/>
      <color rgb="FF1F4E78"/>
      <name val="Segoe UI"/>
      <family val="2"/>
      <charset val="1"/>
    </font>
    <font>
      <sz val="10"/>
      <color rgb="FF0000FF"/>
      <name val="Segoe UI"/>
      <family val="2"/>
      <charset val="1"/>
    </font>
    <font>
      <sz val="10"/>
      <color theme="1"/>
      <name val="Segoe UI"/>
      <family val="2"/>
      <charset val="1"/>
    </font>
    <font>
      <b/>
      <sz val="11"/>
      <color theme="1"/>
      <name val="Segoe UI"/>
      <family val="2"/>
      <charset val="1"/>
    </font>
    <font>
      <sz val="11"/>
      <name val="Segoe UI"/>
      <family val="2"/>
      <charset val="1"/>
    </font>
    <font>
      <sz val="10"/>
      <name val="Segoe UI"/>
      <family val="2"/>
      <charset val="1"/>
    </font>
    <font>
      <b/>
      <sz val="10"/>
      <color rgb="FF0000FF"/>
      <name val="Segoe UI"/>
      <family val="2"/>
      <charset val="1"/>
    </font>
    <font>
      <b/>
      <sz val="11"/>
      <color rgb="FF63513D"/>
      <name val="Segoe UI"/>
      <family val="2"/>
      <charset val="1"/>
    </font>
    <font>
      <b/>
      <sz val="20"/>
      <color rgb="FF63513D"/>
      <name val="Segoe UI"/>
      <family val="2"/>
      <charset val="1"/>
    </font>
    <font>
      <i/>
      <sz val="9"/>
      <color theme="1"/>
      <name val="Segoe UI"/>
      <family val="2"/>
    </font>
    <font>
      <sz val="11"/>
      <color theme="1"/>
      <name val="Calibri"/>
      <family val="2"/>
      <charset val="1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i/>
      <sz val="11"/>
      <color theme="1"/>
      <name val="Segoe UI"/>
      <family val="2"/>
    </font>
    <font>
      <i/>
      <sz val="10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rgb="FF3271D2"/>
      <name val="Segoe UI"/>
      <family val="2"/>
    </font>
    <font>
      <b/>
      <sz val="11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3271D2"/>
      <name val="Segoe UI"/>
      <family val="2"/>
    </font>
    <font>
      <sz val="11"/>
      <name val="Segoe UI"/>
      <family val="2"/>
    </font>
    <font>
      <i/>
      <sz val="11"/>
      <name val="Segoe UI"/>
      <family val="2"/>
    </font>
    <font>
      <i/>
      <sz val="11"/>
      <color rgb="FF000000"/>
      <name val="Segoe UI"/>
      <family val="2"/>
    </font>
    <font>
      <sz val="10"/>
      <name val="Bookman"/>
      <family val="1"/>
    </font>
    <font>
      <u/>
      <sz val="10"/>
      <color theme="10"/>
      <name val="Arial"/>
      <family val="2"/>
    </font>
    <font>
      <b/>
      <sz val="11"/>
      <color rgb="FF0000FF"/>
      <name val="Segoe UI"/>
      <family val="2"/>
    </font>
    <font>
      <sz val="11"/>
      <color theme="0"/>
      <name val="Segoe UI"/>
      <family val="2"/>
    </font>
    <font>
      <b/>
      <i/>
      <sz val="11"/>
      <color theme="0"/>
      <name val="Segoe UI"/>
      <family val="2"/>
    </font>
    <font>
      <b/>
      <i/>
      <sz val="11"/>
      <name val="Segoe UI"/>
      <family val="2"/>
    </font>
    <font>
      <sz val="11"/>
      <color rgb="FFC32838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Segoe UI"/>
      <family val="2"/>
    </font>
    <font>
      <b/>
      <i/>
      <sz val="9"/>
      <color rgb="FF63513D"/>
      <name val="Segoe UI"/>
      <family val="2"/>
    </font>
    <font>
      <i/>
      <sz val="11"/>
      <color rgb="FF000000"/>
      <name val="Segoe UI"/>
      <family val="2"/>
      <charset val="1"/>
    </font>
    <font>
      <sz val="11"/>
      <color rgb="FF000000"/>
      <name val="Segoe UI"/>
      <family val="2"/>
      <charset val="1"/>
    </font>
    <font>
      <b/>
      <sz val="8"/>
      <color rgb="FF000000"/>
      <name val="Segoe UI"/>
      <family val="2"/>
    </font>
    <font>
      <b/>
      <sz val="11"/>
      <name val="Segoe UI"/>
      <family val="2"/>
      <charset val="1"/>
    </font>
    <font>
      <sz val="11"/>
      <color rgb="FF3271D2"/>
      <name val="Segoe UI"/>
      <family val="2"/>
      <charset val="1"/>
    </font>
    <font>
      <b/>
      <sz val="11"/>
      <color rgb="FF000000"/>
      <name val="Segoe UI"/>
      <family val="2"/>
      <charset val="1"/>
    </font>
    <font>
      <sz val="10"/>
      <color rgb="FF000000"/>
      <name val="Open Sans"/>
      <family val="2"/>
    </font>
    <font>
      <i/>
      <sz val="9"/>
      <name val="Segoe UI"/>
      <family val="2"/>
    </font>
    <font>
      <b/>
      <sz val="10"/>
      <color theme="0"/>
      <name val="Segoe UI"/>
      <family val="2"/>
    </font>
    <font>
      <sz val="10"/>
      <color theme="0"/>
      <name val="Segoe UI"/>
      <family val="2"/>
    </font>
    <font>
      <b/>
      <sz val="10"/>
      <color rgb="FF3271D2"/>
      <name val="Segoe UI"/>
      <family val="2"/>
    </font>
    <font>
      <sz val="10"/>
      <color rgb="FF3271D2"/>
      <name val="Segoe UI"/>
      <family val="2"/>
    </font>
    <font>
      <i/>
      <sz val="9"/>
      <color rgb="FF000000"/>
      <name val="Segoe UI"/>
      <family val="2"/>
    </font>
    <font>
      <b/>
      <sz val="10"/>
      <color theme="1"/>
      <name val="Segoe UI"/>
      <family val="2"/>
    </font>
    <font>
      <sz val="14"/>
      <color theme="1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555555"/>
      <name val="Segoe UI"/>
      <family val="2"/>
    </font>
    <font>
      <sz val="14"/>
      <color rgb="FF555555"/>
      <name val="Segoe UI"/>
      <family val="2"/>
    </font>
    <font>
      <sz val="10"/>
      <color rgb="FFFF0000"/>
      <name val="Segoe UI"/>
      <family val="2"/>
    </font>
    <font>
      <sz val="11"/>
      <color rgb="FF555555"/>
      <name val="Segoe UI"/>
      <family val="2"/>
    </font>
    <font>
      <i/>
      <sz val="10"/>
      <color rgb="FF000000"/>
      <name val="Segoe UI"/>
      <family val="2"/>
    </font>
    <font>
      <sz val="9"/>
      <color theme="0"/>
      <name val="Segoe UI"/>
      <family val="2"/>
    </font>
    <font>
      <b/>
      <i/>
      <sz val="8"/>
      <color theme="1"/>
      <name val="Segoe UI"/>
      <family val="2"/>
    </font>
    <font>
      <sz val="10"/>
      <color rgb="FF0070C0"/>
      <name val="Open Sans"/>
      <family val="2"/>
      <charset val="1"/>
    </font>
    <font>
      <sz val="11"/>
      <color theme="4"/>
      <name val="Segoe UI"/>
      <family val="2"/>
    </font>
    <font>
      <b/>
      <sz val="11"/>
      <color rgb="FFFFF9E6"/>
      <name val="Segoe UI"/>
      <family val="2"/>
    </font>
    <font>
      <sz val="11"/>
      <color rgb="FF0070C0"/>
      <name val="Segoe UI"/>
      <family val="2"/>
      <charset val="1"/>
    </font>
    <font>
      <sz val="9"/>
      <color rgb="FF63513D"/>
      <name val="Segoe UI"/>
      <family val="2"/>
      <charset val="1"/>
    </font>
    <font>
      <b/>
      <sz val="10"/>
      <name val="Open Sans"/>
      <family val="2"/>
    </font>
    <font>
      <sz val="11"/>
      <color theme="1"/>
      <name val="Open San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3513D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9E6"/>
        <bgColor rgb="FFF6F6F6"/>
      </patternFill>
    </fill>
    <fill>
      <patternFill patternType="solid">
        <fgColor rgb="FFF6F6F6"/>
        <bgColor rgb="FFF2F2F2"/>
      </patternFill>
    </fill>
    <fill>
      <patternFill patternType="solid">
        <fgColor rgb="FF63513D"/>
        <bgColor rgb="FF666666"/>
      </patternFill>
    </fill>
    <fill>
      <patternFill patternType="solid">
        <fgColor theme="0"/>
        <bgColor indexed="64"/>
      </patternFill>
    </fill>
    <fill>
      <patternFill patternType="solid">
        <fgColor rgb="FFFFF9E6"/>
        <bgColor rgb="FF000000"/>
      </patternFill>
    </fill>
    <fill>
      <patternFill patternType="solid">
        <fgColor rgb="FFF6F6F6"/>
        <bgColor rgb="FF000000"/>
      </patternFill>
    </fill>
  </fills>
  <borders count="7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FBFBF"/>
      </top>
      <bottom style="thick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medium">
        <color rgb="FF3271D2"/>
      </bottom>
      <diagonal/>
    </border>
    <border>
      <left/>
      <right/>
      <top/>
      <bottom style="medium">
        <color rgb="FF987C5E"/>
      </bottom>
      <diagonal/>
    </border>
    <border>
      <left/>
      <right/>
      <top/>
      <bottom style="thin">
        <color rgb="FFB39C83"/>
      </bottom>
      <diagonal/>
    </border>
    <border>
      <left/>
      <right/>
      <top style="thin">
        <color rgb="FFB39C83"/>
      </top>
      <bottom style="medium">
        <color rgb="FFB39C83"/>
      </bottom>
      <diagonal/>
    </border>
    <border>
      <left/>
      <right/>
      <top style="thin">
        <color rgb="FFB39C83"/>
      </top>
      <bottom/>
      <diagonal/>
    </border>
    <border>
      <left/>
      <right/>
      <top/>
      <bottom style="medium">
        <color rgb="FFB39C83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39C83"/>
      </left>
      <right style="thin">
        <color rgb="FFB39C83"/>
      </right>
      <top style="thin">
        <color rgb="FFB39C83"/>
      </top>
      <bottom style="thin">
        <color rgb="FFB39C83"/>
      </bottom>
      <diagonal/>
    </border>
    <border>
      <left/>
      <right style="thin">
        <color rgb="FFB39C83"/>
      </right>
      <top/>
      <bottom/>
      <diagonal/>
    </border>
    <border>
      <left/>
      <right style="thin">
        <color rgb="FFB39C83"/>
      </right>
      <top/>
      <bottom style="medium">
        <color rgb="FFB39C83"/>
      </bottom>
      <diagonal/>
    </border>
    <border>
      <left style="thin">
        <color rgb="FFB39C83"/>
      </left>
      <right style="thin">
        <color rgb="FFB39C83"/>
      </right>
      <top style="thin">
        <color rgb="FFB39C83"/>
      </top>
      <bottom/>
      <diagonal/>
    </border>
    <border>
      <left style="thin">
        <color rgb="FFB39C83"/>
      </left>
      <right style="thin">
        <color rgb="FFB39C83"/>
      </right>
      <top/>
      <bottom/>
      <diagonal/>
    </border>
    <border>
      <left style="thin">
        <color rgb="FFB39C83"/>
      </left>
      <right style="thin">
        <color rgb="FFB39C83"/>
      </right>
      <top/>
      <bottom style="medium">
        <color rgb="FFB39C83"/>
      </bottom>
      <diagonal/>
    </border>
    <border>
      <left/>
      <right style="thin">
        <color rgb="FFB39C83"/>
      </right>
      <top style="thin">
        <color rgb="FFB39C83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rgb="FFB39C83"/>
      </top>
      <bottom style="double">
        <color rgb="FFB39C8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87C5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9" fontId="28" fillId="0" borderId="0"/>
    <xf numFmtId="0" fontId="1" fillId="0" borderId="0"/>
    <xf numFmtId="0" fontId="30" fillId="0" borderId="0"/>
    <xf numFmtId="43" fontId="45" fillId="0" borderId="0"/>
    <xf numFmtId="0" fontId="46" fillId="0" borderId="0"/>
    <xf numFmtId="0" fontId="1" fillId="0" borderId="0"/>
  </cellStyleXfs>
  <cellXfs count="619">
    <xf numFmtId="0" fontId="0" fillId="0" borderId="0" xfId="0"/>
    <xf numFmtId="0" fontId="0" fillId="0" borderId="0" xfId="0"/>
    <xf numFmtId="0" fontId="8" fillId="7" borderId="17" xfId="0" applyFont="1" applyFill="1" applyBorder="1"/>
    <xf numFmtId="0" fontId="8" fillId="7" borderId="18" xfId="0" applyFont="1" applyFill="1" applyBorder="1"/>
    <xf numFmtId="0" fontId="8" fillId="7" borderId="19" xfId="0" applyFont="1" applyFill="1" applyBorder="1" applyAlignment="1">
      <alignment horizontal="right"/>
    </xf>
    <xf numFmtId="0" fontId="8" fillId="0" borderId="20" xfId="0" applyFont="1" applyBorder="1"/>
    <xf numFmtId="0" fontId="8" fillId="0" borderId="21" xfId="0" applyFont="1" applyBorder="1"/>
    <xf numFmtId="0" fontId="26" fillId="0" borderId="0" xfId="0" applyFont="1"/>
    <xf numFmtId="0" fontId="25" fillId="0" borderId="0" xfId="0" applyFont="1" applyAlignment="1">
      <alignment horizontal="right"/>
    </xf>
    <xf numFmtId="0" fontId="10" fillId="0" borderId="61" xfId="0" applyFont="1" applyBorder="1"/>
    <xf numFmtId="0" fontId="20" fillId="0" borderId="0" xfId="0" applyFont="1"/>
    <xf numFmtId="0" fontId="0" fillId="0" borderId="61" xfId="0" applyBorder="1"/>
    <xf numFmtId="0" fontId="8" fillId="5" borderId="0" xfId="0" applyFont="1" applyFill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30" fillId="0" borderId="0" xfId="5" applyProtection="1">
      <protection locked="0"/>
    </xf>
    <xf numFmtId="0" fontId="2" fillId="2" borderId="0" xfId="0" applyFont="1" applyFill="1"/>
    <xf numFmtId="0" fontId="4" fillId="3" borderId="0" xfId="0" applyFont="1" applyFill="1"/>
    <xf numFmtId="166" fontId="4" fillId="3" borderId="0" xfId="0" applyNumberFormat="1" applyFont="1" applyFill="1"/>
    <xf numFmtId="167" fontId="4" fillId="3" borderId="0" xfId="0" applyNumberFormat="1" applyFont="1" applyFill="1"/>
    <xf numFmtId="0" fontId="4" fillId="5" borderId="0" xfId="0" applyFont="1" applyFill="1"/>
    <xf numFmtId="0" fontId="2" fillId="5" borderId="0" xfId="0" applyFont="1" applyFill="1"/>
    <xf numFmtId="37" fontId="64" fillId="0" borderId="0" xfId="0" applyNumberFormat="1" applyFont="1" applyAlignment="1">
      <alignment vertical="center"/>
    </xf>
    <xf numFmtId="37" fontId="65" fillId="0" borderId="0" xfId="0" applyNumberFormat="1" applyFont="1" applyAlignment="1">
      <alignment vertical="center"/>
    </xf>
    <xf numFmtId="166" fontId="64" fillId="0" borderId="0" xfId="0" applyNumberFormat="1" applyFont="1" applyAlignment="1">
      <alignment horizontal="right"/>
    </xf>
    <xf numFmtId="166" fontId="31" fillId="0" borderId="0" xfId="0" applyNumberFormat="1" applyFont="1" applyAlignment="1">
      <alignment horizontal="right"/>
    </xf>
    <xf numFmtId="166" fontId="66" fillId="0" borderId="0" xfId="0" applyNumberFormat="1" applyFont="1" applyAlignment="1">
      <alignment horizontal="right"/>
    </xf>
    <xf numFmtId="167" fontId="31" fillId="0" borderId="0" xfId="0" applyNumberFormat="1" applyFont="1" applyAlignment="1">
      <alignment horizontal="right"/>
    </xf>
    <xf numFmtId="0" fontId="29" fillId="0" borderId="0" xfId="0" applyFont="1" applyAlignment="1">
      <alignment vertical="center"/>
    </xf>
    <xf numFmtId="169" fontId="35" fillId="0" borderId="0" xfId="0" applyNumberFormat="1" applyFont="1"/>
    <xf numFmtId="0" fontId="2" fillId="0" borderId="0" xfId="0" applyFont="1" applyAlignment="1">
      <alignment horizontal="centerContinuous"/>
    </xf>
    <xf numFmtId="0" fontId="69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centerContinuous"/>
    </xf>
    <xf numFmtId="0" fontId="42" fillId="0" borderId="0" xfId="0" applyFont="1"/>
    <xf numFmtId="37" fontId="70" fillId="0" borderId="0" xfId="0" applyNumberFormat="1" applyFont="1" applyAlignment="1">
      <alignment vertical="center"/>
    </xf>
    <xf numFmtId="0" fontId="2" fillId="0" borderId="0" xfId="0" applyFont="1"/>
    <xf numFmtId="0" fontId="7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6" fontId="73" fillId="0" borderId="0" xfId="0" applyNumberFormat="1" applyFont="1" applyAlignment="1">
      <alignment horizontal="right"/>
    </xf>
    <xf numFmtId="37" fontId="74" fillId="0" borderId="0" xfId="0" applyNumberFormat="1" applyFont="1" applyAlignment="1">
      <alignment vertical="center"/>
    </xf>
    <xf numFmtId="0" fontId="27" fillId="0" borderId="0" xfId="0" quotePrefix="1" applyFont="1" applyAlignment="1">
      <alignment horizontal="center" vertical="center"/>
    </xf>
    <xf numFmtId="0" fontId="51" fillId="0" borderId="0" xfId="0" applyFont="1"/>
    <xf numFmtId="0" fontId="75" fillId="0" borderId="0" xfId="0" applyFont="1" applyAlignment="1">
      <alignment horizontal="left"/>
    </xf>
    <xf numFmtId="0" fontId="71" fillId="0" borderId="0" xfId="0" applyFont="1" applyAlignment="1">
      <alignment horizontal="left"/>
    </xf>
    <xf numFmtId="0" fontId="76" fillId="0" borderId="0" xfId="0" applyFont="1"/>
    <xf numFmtId="0" fontId="72" fillId="0" borderId="0" xfId="0" applyFont="1" applyAlignment="1">
      <alignment vertical="center"/>
    </xf>
    <xf numFmtId="0" fontId="72" fillId="0" borderId="0" xfId="0" applyFont="1"/>
    <xf numFmtId="0" fontId="68" fillId="0" borderId="0" xfId="0" quotePrefix="1" applyFont="1" applyAlignment="1">
      <alignment horizontal="center" vertical="center"/>
    </xf>
    <xf numFmtId="0" fontId="72" fillId="0" borderId="0" xfId="0" applyFont="1" applyAlignment="1">
      <alignment horizontal="left"/>
    </xf>
    <xf numFmtId="0" fontId="69" fillId="0" borderId="29" xfId="0" applyFont="1" applyBorder="1" applyAlignment="1">
      <alignment horizontal="centerContinuous" vertical="center"/>
    </xf>
    <xf numFmtId="0" fontId="71" fillId="0" borderId="29" xfId="0" applyFont="1" applyBorder="1" applyAlignment="1">
      <alignment horizontal="centerContinuous" vertical="center"/>
    </xf>
    <xf numFmtId="0" fontId="40" fillId="0" borderId="29" xfId="0" applyFont="1" applyBorder="1" applyAlignment="1">
      <alignment horizontal="centerContinuous"/>
    </xf>
    <xf numFmtId="0" fontId="40" fillId="0" borderId="0" xfId="0" applyFont="1"/>
    <xf numFmtId="0" fontId="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9" fillId="0" borderId="0" xfId="0" applyFont="1" applyAlignment="1">
      <alignment horizontal="centerContinuous" vertical="center"/>
    </xf>
    <xf numFmtId="0" fontId="40" fillId="0" borderId="0" xfId="0" applyFont="1" applyAlignment="1">
      <alignment horizontal="left"/>
    </xf>
    <xf numFmtId="0" fontId="72" fillId="0" borderId="0" xfId="0" applyFont="1" applyAlignment="1">
      <alignment horizontal="centerContinuous" vertical="center"/>
    </xf>
    <xf numFmtId="0" fontId="40" fillId="0" borderId="0" xfId="0" applyFont="1" applyAlignment="1">
      <alignment horizontal="centerContinuous"/>
    </xf>
    <xf numFmtId="0" fontId="71" fillId="0" borderId="0" xfId="0" applyFont="1" applyAlignment="1">
      <alignment horizontal="centerContinuous" vertical="center"/>
    </xf>
    <xf numFmtId="0" fontId="2" fillId="0" borderId="26" xfId="0" applyFont="1" applyBorder="1"/>
    <xf numFmtId="0" fontId="79" fillId="0" borderId="0" xfId="0" applyFont="1"/>
    <xf numFmtId="0" fontId="5" fillId="0" borderId="0" xfId="0" applyFont="1"/>
    <xf numFmtId="167" fontId="3" fillId="0" borderId="25" xfId="0" applyNumberFormat="1" applyFont="1" applyBorder="1"/>
    <xf numFmtId="167" fontId="3" fillId="0" borderId="25" xfId="0" applyNumberFormat="1" applyFont="1" applyBorder="1" applyAlignment="1">
      <alignment horizontal="right"/>
    </xf>
    <xf numFmtId="0" fontId="2" fillId="0" borderId="4" xfId="0" applyFont="1" applyBorder="1"/>
    <xf numFmtId="0" fontId="27" fillId="0" borderId="0" xfId="0" applyFont="1"/>
    <xf numFmtId="0" fontId="27" fillId="0" borderId="4" xfId="0" applyFont="1" applyBorder="1"/>
    <xf numFmtId="0" fontId="55" fillId="3" borderId="0" xfId="0" applyFont="1" applyFill="1"/>
    <xf numFmtId="0" fontId="3" fillId="0" borderId="13" xfId="0" applyFont="1" applyBorder="1"/>
    <xf numFmtId="0" fontId="2" fillId="0" borderId="13" xfId="0" applyFont="1" applyBorder="1"/>
    <xf numFmtId="0" fontId="3" fillId="0" borderId="0" xfId="0" applyFont="1"/>
    <xf numFmtId="37" fontId="36" fillId="0" borderId="0" xfId="0" applyNumberFormat="1" applyFont="1" applyAlignment="1">
      <alignment vertical="center"/>
    </xf>
    <xf numFmtId="166" fontId="38" fillId="0" borderId="0" xfId="0" applyNumberFormat="1" applyFont="1" applyAlignment="1">
      <alignment horizontal="right"/>
    </xf>
    <xf numFmtId="167" fontId="38" fillId="0" borderId="0" xfId="0" applyNumberFormat="1" applyFont="1" applyAlignment="1">
      <alignment horizontal="right"/>
    </xf>
    <xf numFmtId="0" fontId="3" fillId="0" borderId="29" xfId="0" applyFont="1" applyBorder="1"/>
    <xf numFmtId="0" fontId="2" fillId="0" borderId="29" xfId="0" applyFont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quotePrefix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4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6" fillId="0" borderId="0" xfId="0" applyFont="1" applyAlignment="1">
      <alignment horizontal="right" vertical="center"/>
    </xf>
    <xf numFmtId="0" fontId="37" fillId="0" borderId="31" xfId="0" applyFont="1" applyBorder="1" applyAlignment="1">
      <alignment horizontal="right"/>
    </xf>
    <xf numFmtId="0" fontId="39" fillId="0" borderId="28" xfId="0" applyFont="1" applyBorder="1" applyAlignment="1">
      <alignment horizontal="left"/>
    </xf>
    <xf numFmtId="49" fontId="39" fillId="0" borderId="28" xfId="0" applyNumberFormat="1" applyFont="1" applyBorder="1" applyAlignment="1">
      <alignment horizontal="left"/>
    </xf>
    <xf numFmtId="0" fontId="3" fillId="0" borderId="32" xfId="0" applyFont="1" applyBorder="1" applyAlignment="1">
      <alignment horizontal="center"/>
    </xf>
    <xf numFmtId="0" fontId="40" fillId="0" borderId="0" xfId="0" applyFont="1" applyAlignment="1">
      <alignment horizontal="left" vertical="center"/>
    </xf>
    <xf numFmtId="37" fontId="41" fillId="0" borderId="0" xfId="0" applyNumberFormat="1" applyFont="1" applyAlignment="1">
      <alignment horizontal="left" vertical="center"/>
    </xf>
    <xf numFmtId="0" fontId="40" fillId="0" borderId="29" xfId="0" applyFont="1" applyBorder="1" applyAlignment="1">
      <alignment horizontal="left" vertical="center"/>
    </xf>
    <xf numFmtId="37" fontId="41" fillId="0" borderId="2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/>
    </xf>
    <xf numFmtId="185" fontId="40" fillId="0" borderId="0" xfId="0" applyNumberFormat="1" applyFont="1" applyAlignment="1">
      <alignment horizontal="center" vertical="center"/>
    </xf>
    <xf numFmtId="166" fontId="38" fillId="0" borderId="31" xfId="0" applyNumberFormat="1" applyFont="1" applyBorder="1" applyAlignment="1">
      <alignment horizontal="left"/>
    </xf>
    <xf numFmtId="166" fontId="38" fillId="0" borderId="29" xfId="0" applyNumberFormat="1" applyFont="1" applyBorder="1" applyAlignment="1">
      <alignment horizontal="left"/>
    </xf>
    <xf numFmtId="0" fontId="39" fillId="0" borderId="0" xfId="0" applyFont="1" applyAlignment="1">
      <alignment horizontal="center"/>
    </xf>
    <xf numFmtId="0" fontId="39" fillId="0" borderId="29" xfId="0" applyFont="1" applyBorder="1" applyAlignment="1">
      <alignment horizontal="left"/>
    </xf>
    <xf numFmtId="37" fontId="36" fillId="0" borderId="29" xfId="0" applyNumberFormat="1" applyFont="1" applyBorder="1" applyAlignment="1">
      <alignment vertical="center"/>
    </xf>
    <xf numFmtId="0" fontId="42" fillId="0" borderId="29" xfId="0" applyFont="1" applyBorder="1"/>
    <xf numFmtId="0" fontId="40" fillId="0" borderId="0" xfId="0" applyFont="1" applyAlignment="1">
      <alignment horizontal="left" indent="1"/>
    </xf>
    <xf numFmtId="0" fontId="34" fillId="0" borderId="0" xfId="0" applyFont="1" applyAlignment="1">
      <alignment vertical="center"/>
    </xf>
    <xf numFmtId="49" fontId="40" fillId="0" borderId="0" xfId="0" applyNumberFormat="1" applyFont="1" applyAlignment="1">
      <alignment horizontal="left" indent="1"/>
    </xf>
    <xf numFmtId="0" fontId="44" fillId="0" borderId="0" xfId="0" applyFont="1" applyAlignment="1">
      <alignment horizontal="left" indent="1"/>
    </xf>
    <xf numFmtId="0" fontId="34" fillId="0" borderId="0" xfId="0" applyFont="1"/>
    <xf numFmtId="0" fontId="39" fillId="0" borderId="0" xfId="0" applyFont="1" applyAlignment="1">
      <alignment horizontal="left"/>
    </xf>
    <xf numFmtId="0" fontId="44" fillId="0" borderId="0" xfId="0" applyFont="1"/>
    <xf numFmtId="188" fontId="40" fillId="0" borderId="0" xfId="0" applyNumberFormat="1" applyFont="1" applyAlignment="1">
      <alignment horizontal="left" indent="1"/>
    </xf>
    <xf numFmtId="189" fontId="40" fillId="0" borderId="0" xfId="0" applyNumberFormat="1" applyFont="1" applyAlignment="1">
      <alignment horizontal="left" indent="1"/>
    </xf>
    <xf numFmtId="0" fontId="2" fillId="0" borderId="26" xfId="0" applyFont="1" applyBorder="1" applyAlignment="1">
      <alignment vertical="center"/>
    </xf>
    <xf numFmtId="0" fontId="8" fillId="0" borderId="0" xfId="0" applyFont="1"/>
    <xf numFmtId="207" fontId="81" fillId="0" borderId="0" xfId="0" applyNumberFormat="1" applyFont="1" applyAlignment="1">
      <alignment horizontal="left"/>
    </xf>
    <xf numFmtId="208" fontId="81" fillId="0" borderId="0" xfId="0" applyNumberFormat="1" applyFont="1" applyAlignment="1">
      <alignment horizontal="left"/>
    </xf>
    <xf numFmtId="209" fontId="81" fillId="0" borderId="0" xfId="0" applyNumberFormat="1" applyFont="1" applyAlignment="1">
      <alignment horizontal="left"/>
    </xf>
    <xf numFmtId="167" fontId="82" fillId="3" borderId="0" xfId="0" applyNumberFormat="1" applyFont="1" applyFill="1"/>
    <xf numFmtId="169" fontId="8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0" fillId="0" borderId="14" xfId="0" applyFont="1" applyBorder="1"/>
    <xf numFmtId="0" fontId="8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84" fillId="0" borderId="0" xfId="0" applyFont="1"/>
    <xf numFmtId="0" fontId="85" fillId="9" borderId="62" xfId="8" applyFont="1" applyFill="1" applyBorder="1" applyAlignment="1">
      <alignment horizontal="center"/>
    </xf>
    <xf numFmtId="0" fontId="85" fillId="9" borderId="63" xfId="8" applyFont="1" applyFill="1" applyBorder="1" applyAlignment="1">
      <alignment horizontal="center"/>
    </xf>
    <xf numFmtId="0" fontId="86" fillId="0" borderId="0" xfId="8" applyFont="1"/>
    <xf numFmtId="0" fontId="85" fillId="9" borderId="64" xfId="8" applyFont="1" applyFill="1" applyBorder="1" applyAlignment="1">
      <alignment horizontal="center"/>
    </xf>
    <xf numFmtId="0" fontId="69" fillId="0" borderId="66" xfId="0" applyFont="1" applyBorder="1" applyAlignment="1">
      <alignment horizontal="center" vertical="center"/>
    </xf>
    <xf numFmtId="0" fontId="6" fillId="4" borderId="6" xfId="0" applyFont="1" applyFill="1" applyBorder="1" applyProtection="1">
      <protection locked="0"/>
    </xf>
    <xf numFmtId="0" fontId="6" fillId="4" borderId="7" xfId="0" applyFont="1" applyFill="1" applyBorder="1" applyProtection="1">
      <protection locked="0"/>
    </xf>
    <xf numFmtId="0" fontId="6" fillId="4" borderId="8" xfId="0" applyFont="1" applyFill="1" applyBorder="1" applyProtection="1">
      <protection locked="0"/>
    </xf>
    <xf numFmtId="0" fontId="6" fillId="4" borderId="9" xfId="0" applyFont="1" applyFill="1" applyBorder="1" applyProtection="1">
      <protection locked="0"/>
    </xf>
    <xf numFmtId="0" fontId="6" fillId="4" borderId="10" xfId="0" applyFont="1" applyFill="1" applyBorder="1" applyProtection="1">
      <protection locked="0"/>
    </xf>
    <xf numFmtId="0" fontId="6" fillId="4" borderId="11" xfId="0" applyFont="1" applyFill="1" applyBorder="1" applyProtection="1">
      <protection locked="0"/>
    </xf>
    <xf numFmtId="0" fontId="6" fillId="4" borderId="4" xfId="0" applyFont="1" applyFill="1" applyBorder="1" applyProtection="1">
      <protection locked="0"/>
    </xf>
    <xf numFmtId="0" fontId="6" fillId="4" borderId="12" xfId="0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172" fontId="41" fillId="4" borderId="0" xfId="2" applyNumberFormat="1" applyFont="1" applyFill="1" applyAlignment="1" applyProtection="1">
      <alignment horizontal="right" vertical="center"/>
      <protection locked="0"/>
    </xf>
    <xf numFmtId="178" fontId="41" fillId="4" borderId="0" xfId="1" applyNumberFormat="1" applyFont="1" applyFill="1" applyAlignment="1" applyProtection="1">
      <alignment vertical="center"/>
      <protection locked="0"/>
    </xf>
    <xf numFmtId="43" fontId="41" fillId="4" borderId="0" xfId="1" applyFont="1" applyFill="1" applyAlignment="1" applyProtection="1">
      <alignment horizontal="right" vertical="center"/>
      <protection locked="0"/>
    </xf>
    <xf numFmtId="0" fontId="23" fillId="0" borderId="0" xfId="0" applyFont="1"/>
    <xf numFmtId="0" fontId="72" fillId="0" borderId="0" xfId="0" applyFont="1" applyAlignment="1">
      <alignment horizontal="center" vertical="center" textRotation="90"/>
    </xf>
    <xf numFmtId="164" fontId="20" fillId="0" borderId="0" xfId="0" applyNumberFormat="1" applyFont="1"/>
    <xf numFmtId="210" fontId="20" fillId="4" borderId="5" xfId="0" applyNumberFormat="1" applyFont="1" applyFill="1" applyBorder="1" applyAlignment="1">
      <alignment horizontal="center"/>
    </xf>
    <xf numFmtId="210" fontId="69" fillId="4" borderId="5" xfId="0" applyNumberFormat="1" applyFont="1" applyFill="1" applyBorder="1" applyAlignment="1" applyProtection="1">
      <alignment horizontal="center"/>
      <protection locked="0"/>
    </xf>
    <xf numFmtId="210" fontId="86" fillId="10" borderId="65" xfId="8" applyNumberFormat="1" applyFont="1" applyFill="1" applyBorder="1" applyAlignment="1">
      <alignment horizontal="center"/>
    </xf>
    <xf numFmtId="210" fontId="86" fillId="10" borderId="63" xfId="8" applyNumberFormat="1" applyFont="1" applyFill="1" applyBorder="1" applyAlignment="1">
      <alignment horizontal="center"/>
    </xf>
    <xf numFmtId="168" fontId="63" fillId="0" borderId="0" xfId="0" applyNumberFormat="1" applyFont="1" applyAlignment="1">
      <alignment vertical="center"/>
    </xf>
    <xf numFmtId="168" fontId="68" fillId="0" borderId="0" xfId="0" applyNumberFormat="1" applyFont="1" applyAlignment="1">
      <alignment horizontal="left" vertical="center"/>
    </xf>
    <xf numFmtId="206" fontId="69" fillId="8" borderId="5" xfId="0" applyNumberFormat="1" applyFont="1" applyFill="1" applyBorder="1" applyAlignment="1" applyProtection="1">
      <alignment horizontal="center"/>
      <protection locked="0"/>
    </xf>
    <xf numFmtId="170" fontId="72" fillId="0" borderId="0" xfId="0" applyNumberFormat="1" applyFont="1"/>
    <xf numFmtId="171" fontId="72" fillId="0" borderId="0" xfId="2" applyNumberFormat="1" applyFont="1" applyAlignment="1">
      <alignment horizontal="right" vertical="center"/>
    </xf>
    <xf numFmtId="173" fontId="6" fillId="4" borderId="67" xfId="0" applyNumberFormat="1" applyFont="1" applyFill="1" applyBorder="1" applyProtection="1">
      <protection locked="0"/>
    </xf>
    <xf numFmtId="165" fontId="65" fillId="0" borderId="0" xfId="0" applyNumberFormat="1" applyFont="1" applyAlignment="1">
      <alignment horizontal="center"/>
    </xf>
    <xf numFmtId="173" fontId="6" fillId="4" borderId="68" xfId="0" applyNumberFormat="1" applyFont="1" applyFill="1" applyBorder="1" applyProtection="1">
      <protection locked="0"/>
    </xf>
    <xf numFmtId="165" fontId="72" fillId="0" borderId="6" xfId="0" applyNumberFormat="1" applyFont="1" applyBorder="1" applyAlignment="1">
      <alignment horizontal="center" vertical="center"/>
    </xf>
    <xf numFmtId="165" fontId="72" fillId="0" borderId="7" xfId="0" applyNumberFormat="1" applyFont="1" applyBorder="1" applyAlignment="1">
      <alignment horizontal="center" vertical="center"/>
    </xf>
    <xf numFmtId="174" fontId="72" fillId="0" borderId="7" xfId="0" applyNumberFormat="1" applyFont="1" applyBorder="1" applyAlignment="1">
      <alignment horizontal="center" vertical="center"/>
    </xf>
    <xf numFmtId="171" fontId="72" fillId="0" borderId="8" xfId="2" applyNumberFormat="1" applyFont="1" applyBorder="1" applyAlignment="1">
      <alignment horizontal="center" vertical="center"/>
    </xf>
    <xf numFmtId="165" fontId="72" fillId="0" borderId="9" xfId="0" applyNumberFormat="1" applyFont="1" applyBorder="1" applyAlignment="1">
      <alignment horizontal="center" vertical="center"/>
    </xf>
    <xf numFmtId="165" fontId="72" fillId="0" borderId="0" xfId="0" applyNumberFormat="1" applyFont="1" applyAlignment="1">
      <alignment horizontal="center" vertical="center"/>
    </xf>
    <xf numFmtId="174" fontId="72" fillId="0" borderId="0" xfId="0" applyNumberFormat="1" applyFont="1" applyAlignment="1">
      <alignment horizontal="center" vertical="center"/>
    </xf>
    <xf numFmtId="171" fontId="72" fillId="0" borderId="10" xfId="2" applyNumberFormat="1" applyFont="1" applyBorder="1" applyAlignment="1">
      <alignment horizontal="center" vertical="center"/>
    </xf>
    <xf numFmtId="170" fontId="72" fillId="0" borderId="0" xfId="1" applyNumberFormat="1" applyFont="1" applyAlignment="1">
      <alignment horizontal="right" vertical="center"/>
    </xf>
    <xf numFmtId="165" fontId="72" fillId="0" borderId="11" xfId="0" applyNumberFormat="1" applyFont="1" applyBorder="1" applyAlignment="1">
      <alignment horizontal="center" vertical="center"/>
    </xf>
    <xf numFmtId="165" fontId="72" fillId="0" borderId="4" xfId="0" applyNumberFormat="1" applyFont="1" applyBorder="1" applyAlignment="1">
      <alignment horizontal="center" vertical="center"/>
    </xf>
    <xf numFmtId="174" fontId="72" fillId="0" borderId="4" xfId="0" applyNumberFormat="1" applyFont="1" applyBorder="1" applyAlignment="1">
      <alignment horizontal="center" vertical="center"/>
    </xf>
    <xf numFmtId="171" fontId="72" fillId="0" borderId="12" xfId="2" applyNumberFormat="1" applyFont="1" applyBorder="1" applyAlignment="1">
      <alignment horizontal="center" vertical="center"/>
    </xf>
    <xf numFmtId="172" fontId="72" fillId="0" borderId="0" xfId="0" applyNumberFormat="1" applyFont="1" applyAlignment="1">
      <alignment horizontal="right"/>
    </xf>
    <xf numFmtId="173" fontId="72" fillId="0" borderId="0" xfId="2" applyNumberFormat="1" applyFont="1" applyAlignment="1">
      <alignment vertical="center"/>
    </xf>
    <xf numFmtId="165" fontId="78" fillId="0" borderId="0" xfId="0" applyNumberFormat="1" applyFont="1" applyAlignment="1">
      <alignment horizontal="right"/>
    </xf>
    <xf numFmtId="171" fontId="77" fillId="0" borderId="0" xfId="2" applyNumberFormat="1" applyFont="1" applyAlignment="1">
      <alignment horizontal="right" vertical="center"/>
    </xf>
    <xf numFmtId="174" fontId="72" fillId="0" borderId="0" xfId="0" applyNumberFormat="1" applyFont="1" applyAlignment="1">
      <alignment horizontal="right"/>
    </xf>
    <xf numFmtId="170" fontId="72" fillId="0" borderId="33" xfId="1" applyNumberFormat="1" applyFont="1" applyBorder="1" applyAlignment="1">
      <alignment vertical="center"/>
    </xf>
    <xf numFmtId="170" fontId="72" fillId="0" borderId="41" xfId="1" applyNumberFormat="1" applyFont="1" applyBorder="1" applyAlignment="1">
      <alignment vertical="center"/>
    </xf>
    <xf numFmtId="170" fontId="72" fillId="0" borderId="34" xfId="1" applyNumberFormat="1" applyFont="1" applyBorder="1" applyAlignment="1">
      <alignment vertical="center"/>
    </xf>
    <xf numFmtId="175" fontId="72" fillId="0" borderId="33" xfId="1" applyNumberFormat="1" applyFont="1" applyBorder="1" applyAlignment="1">
      <alignment vertical="center"/>
    </xf>
    <xf numFmtId="175" fontId="72" fillId="0" borderId="41" xfId="1" applyNumberFormat="1" applyFont="1" applyBorder="1" applyAlignment="1">
      <alignment vertical="center"/>
    </xf>
    <xf numFmtId="175" fontId="72" fillId="0" borderId="34" xfId="1" applyNumberFormat="1" applyFont="1" applyBorder="1" applyAlignment="1">
      <alignment vertical="center"/>
    </xf>
    <xf numFmtId="170" fontId="72" fillId="0" borderId="36" xfId="1" applyNumberFormat="1" applyFont="1" applyBorder="1" applyAlignment="1">
      <alignment vertical="center"/>
    </xf>
    <xf numFmtId="170" fontId="72" fillId="0" borderId="0" xfId="1" applyNumberFormat="1" applyFont="1" applyAlignment="1">
      <alignment vertical="center"/>
    </xf>
    <xf numFmtId="170" fontId="72" fillId="0" borderId="37" xfId="1" applyNumberFormat="1" applyFont="1" applyBorder="1" applyAlignment="1">
      <alignment vertical="center"/>
    </xf>
    <xf numFmtId="175" fontId="72" fillId="0" borderId="36" xfId="1" applyNumberFormat="1" applyFont="1" applyBorder="1" applyAlignment="1">
      <alignment vertical="center"/>
    </xf>
    <xf numFmtId="175" fontId="72" fillId="0" borderId="0" xfId="1" applyNumberFormat="1" applyFont="1" applyAlignment="1">
      <alignment vertical="center"/>
    </xf>
    <xf numFmtId="175" fontId="72" fillId="0" borderId="37" xfId="1" applyNumberFormat="1" applyFont="1" applyBorder="1" applyAlignment="1">
      <alignment vertical="center"/>
    </xf>
    <xf numFmtId="170" fontId="71" fillId="0" borderId="60" xfId="1" applyNumberFormat="1" applyFont="1" applyBorder="1" applyAlignment="1">
      <alignment vertical="center"/>
    </xf>
    <xf numFmtId="175" fontId="71" fillId="0" borderId="60" xfId="1" applyNumberFormat="1" applyFont="1" applyBorder="1" applyAlignment="1">
      <alignment vertical="center"/>
    </xf>
    <xf numFmtId="170" fontId="72" fillId="0" borderId="39" xfId="1" applyNumberFormat="1" applyFont="1" applyBorder="1" applyAlignment="1">
      <alignment vertical="center"/>
    </xf>
    <xf numFmtId="170" fontId="72" fillId="0" borderId="26" xfId="1" applyNumberFormat="1" applyFont="1" applyBorder="1" applyAlignment="1">
      <alignment vertical="center"/>
    </xf>
    <xf numFmtId="170" fontId="72" fillId="0" borderId="40" xfId="1" applyNumberFormat="1" applyFont="1" applyBorder="1" applyAlignment="1">
      <alignment vertical="center"/>
    </xf>
    <xf numFmtId="175" fontId="72" fillId="0" borderId="39" xfId="1" applyNumberFormat="1" applyFont="1" applyBorder="1" applyAlignment="1">
      <alignment vertical="center"/>
    </xf>
    <xf numFmtId="175" fontId="72" fillId="0" borderId="26" xfId="1" applyNumberFormat="1" applyFont="1" applyBorder="1" applyAlignment="1">
      <alignment vertical="center"/>
    </xf>
    <xf numFmtId="175" fontId="72" fillId="0" borderId="40" xfId="1" applyNumberFormat="1" applyFont="1" applyBorder="1" applyAlignment="1">
      <alignment vertical="center"/>
    </xf>
    <xf numFmtId="165" fontId="72" fillId="0" borderId="0" xfId="0" applyNumberFormat="1" applyFont="1" applyAlignment="1">
      <alignment horizontal="right"/>
    </xf>
    <xf numFmtId="171" fontId="77" fillId="0" borderId="26" xfId="2" applyNumberFormat="1" applyFont="1" applyBorder="1" applyAlignment="1">
      <alignment horizontal="right" vertical="center"/>
    </xf>
    <xf numFmtId="173" fontId="72" fillId="0" borderId="33" xfId="2" applyNumberFormat="1" applyFont="1" applyBorder="1" applyAlignment="1">
      <alignment vertical="center"/>
    </xf>
    <xf numFmtId="173" fontId="72" fillId="0" borderId="41" xfId="2" applyNumberFormat="1" applyFont="1" applyBorder="1" applyAlignment="1">
      <alignment vertical="center"/>
    </xf>
    <xf numFmtId="173" fontId="72" fillId="0" borderId="34" xfId="2" applyNumberFormat="1" applyFont="1" applyBorder="1" applyAlignment="1">
      <alignment vertical="center"/>
    </xf>
    <xf numFmtId="173" fontId="72" fillId="0" borderId="36" xfId="2" applyNumberFormat="1" applyFont="1" applyBorder="1" applyAlignment="1">
      <alignment vertical="center"/>
    </xf>
    <xf numFmtId="173" fontId="72" fillId="0" borderId="37" xfId="2" applyNumberFormat="1" applyFont="1" applyBorder="1" applyAlignment="1">
      <alignment vertical="center"/>
    </xf>
    <xf numFmtId="173" fontId="71" fillId="0" borderId="60" xfId="2" applyNumberFormat="1" applyFont="1" applyBorder="1" applyAlignment="1">
      <alignment vertical="center"/>
    </xf>
    <xf numFmtId="173" fontId="72" fillId="0" borderId="39" xfId="2" applyNumberFormat="1" applyFont="1" applyBorder="1" applyAlignment="1">
      <alignment vertical="center"/>
    </xf>
    <xf numFmtId="173" fontId="72" fillId="0" borderId="26" xfId="2" applyNumberFormat="1" applyFont="1" applyBorder="1" applyAlignment="1">
      <alignment vertical="center"/>
    </xf>
    <xf numFmtId="173" fontId="72" fillId="0" borderId="40" xfId="2" applyNumberFormat="1" applyFont="1" applyBorder="1" applyAlignment="1">
      <alignment vertical="center"/>
    </xf>
    <xf numFmtId="171" fontId="72" fillId="0" borderId="0" xfId="1" applyNumberFormat="1" applyFont="1" applyAlignment="1">
      <alignment horizontal="right" vertical="center"/>
    </xf>
    <xf numFmtId="176" fontId="33" fillId="0" borderId="0" xfId="0" quotePrefix="1" applyNumberFormat="1" applyFont="1" applyAlignment="1">
      <alignment horizontal="right"/>
    </xf>
    <xf numFmtId="165" fontId="67" fillId="0" borderId="0" xfId="0" applyNumberFormat="1" applyFont="1" applyAlignment="1">
      <alignment horizontal="center"/>
    </xf>
    <xf numFmtId="177" fontId="29" fillId="0" borderId="0" xfId="1" applyNumberFormat="1" applyFont="1" applyAlignment="1">
      <alignment vertical="center"/>
    </xf>
    <xf numFmtId="177" fontId="6" fillId="4" borderId="67" xfId="1" applyNumberFormat="1" applyFont="1" applyFill="1" applyBorder="1" applyAlignment="1" applyProtection="1">
      <alignment vertical="center"/>
      <protection locked="0"/>
    </xf>
    <xf numFmtId="177" fontId="77" fillId="0" borderId="0" xfId="1" applyNumberFormat="1" applyFont="1" applyAlignment="1">
      <alignment horizontal="right" vertical="center"/>
    </xf>
    <xf numFmtId="0" fontId="38" fillId="0" borderId="0" xfId="0" applyFont="1"/>
    <xf numFmtId="206" fontId="38" fillId="0" borderId="5" xfId="0" applyNumberFormat="1" applyFont="1" applyBorder="1" applyAlignment="1">
      <alignment horizontal="center" vertical="center"/>
    </xf>
    <xf numFmtId="173" fontId="3" fillId="0" borderId="1" xfId="0" applyNumberFormat="1" applyFont="1" applyBorder="1"/>
    <xf numFmtId="173" fontId="3" fillId="0" borderId="2" xfId="0" applyNumberFormat="1" applyFont="1" applyBorder="1"/>
    <xf numFmtId="173" fontId="3" fillId="0" borderId="3" xfId="0" applyNumberFormat="1" applyFont="1" applyBorder="1"/>
    <xf numFmtId="173" fontId="6" fillId="4" borderId="6" xfId="0" applyNumberFormat="1" applyFont="1" applyFill="1" applyBorder="1" applyProtection="1">
      <protection locked="0"/>
    </xf>
    <xf numFmtId="173" fontId="6" fillId="4" borderId="7" xfId="0" applyNumberFormat="1" applyFont="1" applyFill="1" applyBorder="1" applyProtection="1">
      <protection locked="0"/>
    </xf>
    <xf numFmtId="173" fontId="6" fillId="4" borderId="8" xfId="0" applyNumberFormat="1" applyFont="1" applyFill="1" applyBorder="1" applyProtection="1">
      <protection locked="0"/>
    </xf>
    <xf numFmtId="173" fontId="6" fillId="4" borderId="9" xfId="0" applyNumberFormat="1" applyFont="1" applyFill="1" applyBorder="1" applyProtection="1">
      <protection locked="0"/>
    </xf>
    <xf numFmtId="173" fontId="6" fillId="4" borderId="0" xfId="0" applyNumberFormat="1" applyFont="1" applyFill="1" applyProtection="1">
      <protection locked="0"/>
    </xf>
    <xf numFmtId="173" fontId="6" fillId="4" borderId="10" xfId="0" applyNumberFormat="1" applyFont="1" applyFill="1" applyBorder="1" applyProtection="1">
      <protection locked="0"/>
    </xf>
    <xf numFmtId="173" fontId="6" fillId="4" borderId="11" xfId="0" applyNumberFormat="1" applyFont="1" applyFill="1" applyBorder="1" applyProtection="1">
      <protection locked="0"/>
    </xf>
    <xf numFmtId="173" fontId="6" fillId="4" borderId="4" xfId="0" applyNumberFormat="1" applyFont="1" applyFill="1" applyBorder="1" applyProtection="1">
      <protection locked="0"/>
    </xf>
    <xf numFmtId="173" fontId="6" fillId="4" borderId="12" xfId="0" applyNumberFormat="1" applyFont="1" applyFill="1" applyBorder="1" applyProtection="1">
      <protection locked="0"/>
    </xf>
    <xf numFmtId="173" fontId="40" fillId="4" borderId="8" xfId="0" applyNumberFormat="1" applyFont="1" applyFill="1" applyBorder="1" applyProtection="1">
      <protection locked="0"/>
    </xf>
    <xf numFmtId="173" fontId="40" fillId="4" borderId="10" xfId="0" applyNumberFormat="1" applyFont="1" applyFill="1" applyBorder="1" applyProtection="1">
      <protection locked="0"/>
    </xf>
    <xf numFmtId="173" fontId="40" fillId="4" borderId="12" xfId="0" applyNumberFormat="1" applyFont="1" applyFill="1" applyBorder="1" applyProtection="1">
      <protection locked="0"/>
    </xf>
    <xf numFmtId="1" fontId="6" fillId="4" borderId="0" xfId="0" applyNumberFormat="1" applyFont="1" applyFill="1" applyProtection="1">
      <protection locked="0"/>
    </xf>
    <xf numFmtId="1" fontId="6" fillId="4" borderId="10" xfId="0" applyNumberFormat="1" applyFont="1" applyFill="1" applyBorder="1" applyProtection="1">
      <protection locked="0"/>
    </xf>
    <xf numFmtId="0" fontId="40" fillId="4" borderId="8" xfId="0" applyFont="1" applyFill="1" applyBorder="1" applyProtection="1">
      <protection locked="0"/>
    </xf>
    <xf numFmtId="0" fontId="40" fillId="4" borderId="12" xfId="0" applyFont="1" applyFill="1" applyBorder="1" applyProtection="1">
      <protection locked="0"/>
    </xf>
    <xf numFmtId="173" fontId="6" fillId="4" borderId="69" xfId="0" applyNumberFormat="1" applyFont="1" applyFill="1" applyBorder="1" applyProtection="1">
      <protection locked="0"/>
    </xf>
    <xf numFmtId="173" fontId="6" fillId="4" borderId="70" xfId="0" applyNumberFormat="1" applyFont="1" applyFill="1" applyBorder="1" applyProtection="1">
      <protection locked="0"/>
    </xf>
    <xf numFmtId="173" fontId="6" fillId="4" borderId="71" xfId="0" applyNumberFormat="1" applyFont="1" applyFill="1" applyBorder="1" applyProtection="1">
      <protection locked="0"/>
    </xf>
    <xf numFmtId="173" fontId="40" fillId="4" borderId="71" xfId="0" applyNumberFormat="1" applyFont="1" applyFill="1" applyBorder="1" applyProtection="1">
      <protection locked="0"/>
    </xf>
    <xf numFmtId="178" fontId="6" fillId="4" borderId="0" xfId="0" applyNumberFormat="1" applyFont="1" applyFill="1" applyProtection="1">
      <protection locked="0"/>
    </xf>
    <xf numFmtId="173" fontId="2" fillId="0" borderId="0" xfId="0" applyNumberFormat="1" applyFont="1"/>
    <xf numFmtId="168" fontId="43" fillId="0" borderId="0" xfId="0" applyNumberFormat="1" applyFont="1" applyAlignment="1">
      <alignment vertical="center"/>
    </xf>
    <xf numFmtId="179" fontId="34" fillId="0" borderId="0" xfId="6" applyNumberFormat="1" applyFont="1"/>
    <xf numFmtId="179" fontId="34" fillId="0" borderId="0" xfId="6" applyNumberFormat="1" applyFont="1" applyAlignment="1">
      <alignment horizontal="center"/>
    </xf>
    <xf numFmtId="179" fontId="34" fillId="0" borderId="0" xfId="6" applyNumberFormat="1" applyFont="1" applyAlignment="1">
      <alignment horizontal="right"/>
    </xf>
    <xf numFmtId="171" fontId="40" fillId="0" borderId="0" xfId="0" applyNumberFormat="1" applyFont="1"/>
    <xf numFmtId="171" fontId="42" fillId="0" borderId="0" xfId="0" applyNumberFormat="1" applyFont="1"/>
    <xf numFmtId="180" fontId="41" fillId="4" borderId="0" xfId="0" applyNumberFormat="1" applyFont="1" applyFill="1" applyAlignment="1" applyProtection="1">
      <alignment horizontal="right" vertical="center"/>
      <protection locked="0"/>
    </xf>
    <xf numFmtId="170" fontId="41" fillId="4" borderId="0" xfId="1" applyNumberFormat="1" applyFont="1" applyFill="1" applyAlignment="1" applyProtection="1">
      <alignment vertical="center"/>
      <protection locked="0"/>
    </xf>
    <xf numFmtId="180" fontId="42" fillId="0" borderId="0" xfId="0" applyNumberFormat="1" applyFont="1" applyAlignment="1">
      <alignment horizontal="right" vertical="center"/>
    </xf>
    <xf numFmtId="170" fontId="42" fillId="0" borderId="0" xfId="1" applyNumberFormat="1" applyFont="1" applyAlignment="1">
      <alignment vertical="center"/>
    </xf>
    <xf numFmtId="181" fontId="40" fillId="0" borderId="0" xfId="0" applyNumberFormat="1" applyFont="1" applyAlignment="1">
      <alignment horizontal="right" vertical="center"/>
    </xf>
    <xf numFmtId="170" fontId="41" fillId="4" borderId="0" xfId="1" applyNumberFormat="1" applyFont="1" applyFill="1" applyProtection="1">
      <protection locked="0"/>
    </xf>
    <xf numFmtId="182" fontId="40" fillId="0" borderId="0" xfId="7" applyNumberFormat="1" applyFont="1" applyAlignment="1">
      <alignment horizontal="right" vertical="center"/>
    </xf>
    <xf numFmtId="179" fontId="34" fillId="0" borderId="0" xfId="6" applyNumberFormat="1" applyFont="1" applyAlignment="1">
      <alignment vertical="center"/>
    </xf>
    <xf numFmtId="170" fontId="41" fillId="4" borderId="0" xfId="0" applyNumberFormat="1" applyFont="1" applyFill="1" applyAlignment="1" applyProtection="1">
      <alignment vertical="center"/>
      <protection locked="0"/>
    </xf>
    <xf numFmtId="170" fontId="41" fillId="0" borderId="0" xfId="0" applyNumberFormat="1" applyFont="1" applyAlignment="1">
      <alignment vertical="center"/>
    </xf>
    <xf numFmtId="179" fontId="2" fillId="0" borderId="0" xfId="6" applyNumberFormat="1" applyFont="1" applyAlignment="1">
      <alignment vertical="center"/>
    </xf>
    <xf numFmtId="173" fontId="41" fillId="4" borderId="0" xfId="2" applyNumberFormat="1" applyFont="1" applyFill="1" applyAlignment="1" applyProtection="1">
      <alignment vertical="center"/>
      <protection locked="0"/>
    </xf>
    <xf numFmtId="171" fontId="42" fillId="0" borderId="0" xfId="2" applyNumberFormat="1" applyFont="1" applyAlignment="1">
      <alignment vertical="center"/>
    </xf>
    <xf numFmtId="179" fontId="44" fillId="0" borderId="0" xfId="6" applyNumberFormat="1" applyFont="1" applyAlignment="1">
      <alignment horizontal="right" vertical="center"/>
    </xf>
    <xf numFmtId="179" fontId="44" fillId="0" borderId="0" xfId="6" applyNumberFormat="1" applyFont="1" applyAlignment="1">
      <alignment vertical="center"/>
    </xf>
    <xf numFmtId="177" fontId="41" fillId="4" borderId="0" xfId="1" applyNumberFormat="1" applyFont="1" applyFill="1" applyAlignment="1" applyProtection="1">
      <alignment vertical="center"/>
      <protection locked="0"/>
    </xf>
    <xf numFmtId="197" fontId="41" fillId="4" borderId="0" xfId="2" applyNumberFormat="1" applyFont="1" applyFill="1" applyAlignment="1" applyProtection="1">
      <alignment vertical="center"/>
      <protection locked="0"/>
    </xf>
    <xf numFmtId="171" fontId="40" fillId="0" borderId="0" xfId="2" applyNumberFormat="1" applyFont="1" applyAlignment="1">
      <alignment vertical="center"/>
    </xf>
    <xf numFmtId="172" fontId="41" fillId="4" borderId="0" xfId="1" applyNumberFormat="1" applyFont="1" applyFill="1" applyAlignment="1" applyProtection="1">
      <alignment vertical="center"/>
      <protection locked="0"/>
    </xf>
    <xf numFmtId="182" fontId="2" fillId="0" borderId="0" xfId="7" applyNumberFormat="1" applyFont="1" applyAlignment="1">
      <alignment horizontal="right" vertical="center"/>
    </xf>
    <xf numFmtId="172" fontId="41" fillId="0" borderId="0" xfId="1" applyNumberFormat="1" applyFont="1" applyAlignment="1">
      <alignment vertical="center"/>
    </xf>
    <xf numFmtId="172" fontId="41" fillId="0" borderId="0" xfId="2" applyNumberFormat="1" applyFont="1" applyAlignment="1">
      <alignment horizontal="right" vertical="center"/>
    </xf>
    <xf numFmtId="170" fontId="38" fillId="0" borderId="31" xfId="0" applyNumberFormat="1" applyFont="1" applyBorder="1" applyAlignment="1">
      <alignment horizontal="center"/>
    </xf>
    <xf numFmtId="170" fontId="39" fillId="0" borderId="31" xfId="0" applyNumberFormat="1" applyFont="1" applyBorder="1" applyAlignment="1">
      <alignment horizontal="center"/>
    </xf>
    <xf numFmtId="170" fontId="38" fillId="0" borderId="31" xfId="0" applyNumberFormat="1" applyFont="1" applyBorder="1" applyAlignment="1">
      <alignment horizontal="right"/>
    </xf>
    <xf numFmtId="170" fontId="39" fillId="0" borderId="32" xfId="0" applyNumberFormat="1" applyFont="1" applyBorder="1" applyAlignment="1">
      <alignment horizontal="right"/>
    </xf>
    <xf numFmtId="170" fontId="39" fillId="0" borderId="32" xfId="0" applyNumberFormat="1" applyFont="1" applyBorder="1" applyAlignment="1">
      <alignment horizontal="center"/>
    </xf>
    <xf numFmtId="170" fontId="39" fillId="0" borderId="0" xfId="0" applyNumberFormat="1" applyFont="1" applyAlignment="1">
      <alignment horizontal="right"/>
    </xf>
    <xf numFmtId="183" fontId="39" fillId="0" borderId="0" xfId="0" applyNumberFormat="1" applyFont="1" applyAlignment="1">
      <alignment horizontal="right"/>
    </xf>
    <xf numFmtId="170" fontId="39" fillId="0" borderId="0" xfId="0" applyNumberFormat="1" applyFont="1" applyAlignment="1">
      <alignment horizontal="center"/>
    </xf>
    <xf numFmtId="184" fontId="39" fillId="0" borderId="0" xfId="0" applyNumberFormat="1" applyFont="1" applyAlignment="1">
      <alignment horizontal="center"/>
    </xf>
    <xf numFmtId="170" fontId="41" fillId="0" borderId="0" xfId="0" applyNumberFormat="1" applyFont="1" applyAlignment="1">
      <alignment horizontal="right" vertical="center"/>
    </xf>
    <xf numFmtId="172" fontId="40" fillId="0" borderId="0" xfId="0" applyNumberFormat="1" applyFont="1" applyAlignment="1">
      <alignment horizontal="center" vertical="center"/>
    </xf>
    <xf numFmtId="172" fontId="40" fillId="0" borderId="29" xfId="0" applyNumberFormat="1" applyFont="1" applyBorder="1" applyAlignment="1">
      <alignment horizontal="center" vertical="center"/>
    </xf>
    <xf numFmtId="171" fontId="41" fillId="0" borderId="0" xfId="0" applyNumberFormat="1" applyFont="1" applyAlignment="1">
      <alignment vertical="center"/>
    </xf>
    <xf numFmtId="172" fontId="41" fillId="0" borderId="0" xfId="0" applyNumberFormat="1" applyFont="1" applyAlignment="1">
      <alignment horizontal="right" vertical="center"/>
    </xf>
    <xf numFmtId="171" fontId="40" fillId="0" borderId="31" xfId="0" applyNumberFormat="1" applyFont="1" applyBorder="1" applyAlignment="1">
      <alignment horizontal="center" vertical="center"/>
    </xf>
    <xf numFmtId="171" fontId="40" fillId="0" borderId="31" xfId="2" applyNumberFormat="1" applyFont="1" applyBorder="1" applyAlignment="1">
      <alignment horizontal="center" vertical="center"/>
    </xf>
    <xf numFmtId="172" fontId="40" fillId="0" borderId="31" xfId="0" applyNumberFormat="1" applyFont="1" applyBorder="1" applyAlignment="1">
      <alignment horizontal="center" vertical="center"/>
    </xf>
    <xf numFmtId="171" fontId="40" fillId="0" borderId="29" xfId="0" applyNumberFormat="1" applyFont="1" applyBorder="1" applyAlignment="1">
      <alignment horizontal="center" vertical="center"/>
    </xf>
    <xf numFmtId="171" fontId="40" fillId="0" borderId="29" xfId="2" applyNumberFormat="1" applyFont="1" applyBorder="1" applyAlignment="1">
      <alignment horizontal="center" vertical="center"/>
    </xf>
    <xf numFmtId="171" fontId="40" fillId="0" borderId="0" xfId="0" applyNumberFormat="1" applyFont="1" applyAlignment="1">
      <alignment vertical="center"/>
    </xf>
    <xf numFmtId="173" fontId="40" fillId="0" borderId="0" xfId="2" applyNumberFormat="1" applyFont="1" applyAlignment="1">
      <alignment vertical="center"/>
    </xf>
    <xf numFmtId="172" fontId="40" fillId="0" borderId="0" xfId="0" applyNumberFormat="1" applyFont="1" applyAlignment="1">
      <alignment horizontal="right" vertical="center"/>
    </xf>
    <xf numFmtId="172" fontId="41" fillId="0" borderId="0" xfId="0" applyNumberFormat="1" applyFont="1"/>
    <xf numFmtId="172" fontId="42" fillId="0" borderId="0" xfId="0" applyNumberFormat="1" applyFont="1"/>
    <xf numFmtId="171" fontId="41" fillId="4" borderId="0" xfId="0" applyNumberFormat="1" applyFont="1" applyFill="1" applyAlignment="1" applyProtection="1">
      <alignment vertical="center"/>
      <protection locked="0"/>
    </xf>
    <xf numFmtId="172" fontId="40" fillId="0" borderId="0" xfId="0" applyNumberFormat="1" applyFont="1"/>
    <xf numFmtId="172" fontId="40" fillId="0" borderId="26" xfId="0" applyNumberFormat="1" applyFont="1" applyBorder="1" applyAlignment="1">
      <alignment horizontal="right" vertical="center"/>
    </xf>
    <xf numFmtId="171" fontId="41" fillId="4" borderId="26" xfId="0" applyNumberFormat="1" applyFont="1" applyFill="1" applyBorder="1" applyAlignment="1" applyProtection="1">
      <alignment vertical="center"/>
      <protection locked="0"/>
    </xf>
    <xf numFmtId="165" fontId="40" fillId="0" borderId="0" xfId="0" applyNumberFormat="1" applyFont="1"/>
    <xf numFmtId="170" fontId="39" fillId="0" borderId="29" xfId="0" applyNumberFormat="1" applyFont="1" applyBorder="1" applyAlignment="1">
      <alignment horizontal="right"/>
    </xf>
    <xf numFmtId="170" fontId="3" fillId="0" borderId="27" xfId="0" applyNumberFormat="1" applyFont="1" applyBorder="1" applyAlignment="1">
      <alignment horizontal="right" vertical="center"/>
    </xf>
    <xf numFmtId="171" fontId="42" fillId="0" borderId="0" xfId="0" applyNumberFormat="1" applyFont="1" applyAlignment="1">
      <alignment vertical="center"/>
    </xf>
    <xf numFmtId="171" fontId="42" fillId="0" borderId="26" xfId="0" applyNumberFormat="1" applyFont="1" applyBorder="1" applyAlignment="1">
      <alignment vertical="center"/>
    </xf>
    <xf numFmtId="170" fontId="42" fillId="0" borderId="26" xfId="0" applyNumberFormat="1" applyFont="1" applyBorder="1" applyAlignment="1">
      <alignment vertical="center"/>
    </xf>
    <xf numFmtId="171" fontId="40" fillId="0" borderId="26" xfId="0" applyNumberFormat="1" applyFont="1" applyBorder="1" applyAlignment="1">
      <alignment vertical="center"/>
    </xf>
    <xf numFmtId="170" fontId="40" fillId="0" borderId="0" xfId="0" applyNumberFormat="1" applyFont="1" applyAlignment="1">
      <alignment vertical="center"/>
    </xf>
    <xf numFmtId="186" fontId="56" fillId="0" borderId="0" xfId="0" applyNumberFormat="1" applyFont="1" applyAlignment="1">
      <alignment vertical="center"/>
    </xf>
    <xf numFmtId="170" fontId="3" fillId="0" borderId="32" xfId="0" applyNumberFormat="1" applyFont="1" applyBorder="1" applyAlignment="1">
      <alignment horizontal="right" vertical="center"/>
    </xf>
    <xf numFmtId="176" fontId="40" fillId="0" borderId="0" xfId="0" applyNumberFormat="1" applyFont="1" applyAlignment="1">
      <alignment horizontal="left" indent="1"/>
    </xf>
    <xf numFmtId="187" fontId="40" fillId="0" borderId="0" xfId="0" applyNumberFormat="1" applyFont="1" applyAlignment="1">
      <alignment horizontal="left" indent="1"/>
    </xf>
    <xf numFmtId="171" fontId="40" fillId="0" borderId="30" xfId="0" applyNumberFormat="1" applyFont="1" applyBorder="1" applyAlignment="1">
      <alignment vertical="center"/>
    </xf>
    <xf numFmtId="173" fontId="41" fillId="0" borderId="26" xfId="0" applyNumberFormat="1" applyFont="1" applyBorder="1" applyAlignment="1">
      <alignment vertical="center"/>
    </xf>
    <xf numFmtId="0" fontId="29" fillId="0" borderId="0" xfId="0" applyFont="1" applyFill="1" applyAlignment="1">
      <alignment vertical="center"/>
    </xf>
    <xf numFmtId="0" fontId="2" fillId="0" borderId="0" xfId="0" applyFont="1" applyFill="1"/>
    <xf numFmtId="0" fontId="27" fillId="0" borderId="0" xfId="0" quotePrefix="1" applyFont="1" applyFill="1" applyAlignment="1">
      <alignment horizontal="center" vertical="center"/>
    </xf>
    <xf numFmtId="170" fontId="72" fillId="0" borderId="0" xfId="1" applyNumberFormat="1" applyFont="1" applyFill="1" applyAlignment="1">
      <alignment horizontal="right" vertical="center"/>
    </xf>
    <xf numFmtId="0" fontId="5" fillId="0" borderId="0" xfId="0" applyFont="1" applyFill="1"/>
    <xf numFmtId="0" fontId="27" fillId="0" borderId="0" xfId="0" applyFont="1" applyFill="1"/>
    <xf numFmtId="0" fontId="3" fillId="0" borderId="0" xfId="0" applyFont="1" applyFill="1"/>
    <xf numFmtId="178" fontId="3" fillId="0" borderId="1" xfId="0" applyNumberFormat="1" applyFont="1" applyFill="1" applyBorder="1"/>
    <xf numFmtId="178" fontId="3" fillId="0" borderId="2" xfId="0" applyNumberFormat="1" applyFont="1" applyFill="1" applyBorder="1"/>
    <xf numFmtId="178" fontId="3" fillId="0" borderId="3" xfId="0" applyNumberFormat="1" applyFont="1" applyFill="1" applyBorder="1"/>
    <xf numFmtId="178" fontId="6" fillId="4" borderId="6" xfId="0" applyNumberFormat="1" applyFont="1" applyFill="1" applyBorder="1" applyProtection="1">
      <protection locked="0"/>
    </xf>
    <xf numFmtId="178" fontId="6" fillId="4" borderId="7" xfId="0" applyNumberFormat="1" applyFont="1" applyFill="1" applyBorder="1" applyProtection="1">
      <protection locked="0"/>
    </xf>
    <xf numFmtId="178" fontId="6" fillId="4" borderId="8" xfId="0" applyNumberFormat="1" applyFont="1" applyFill="1" applyBorder="1" applyProtection="1">
      <protection locked="0"/>
    </xf>
    <xf numFmtId="178" fontId="40" fillId="4" borderId="8" xfId="0" applyNumberFormat="1" applyFont="1" applyFill="1" applyBorder="1" applyProtection="1">
      <protection locked="0"/>
    </xf>
    <xf numFmtId="178" fontId="6" fillId="4" borderId="9" xfId="0" applyNumberFormat="1" applyFont="1" applyFill="1" applyBorder="1" applyProtection="1">
      <protection locked="0"/>
    </xf>
    <xf numFmtId="178" fontId="6" fillId="4" borderId="10" xfId="0" applyNumberFormat="1" applyFont="1" applyFill="1" applyBorder="1" applyProtection="1">
      <protection locked="0"/>
    </xf>
    <xf numFmtId="178" fontId="40" fillId="4" borderId="10" xfId="0" applyNumberFormat="1" applyFont="1" applyFill="1" applyBorder="1" applyProtection="1">
      <protection locked="0"/>
    </xf>
    <xf numFmtId="178" fontId="6" fillId="4" borderId="11" xfId="0" applyNumberFormat="1" applyFont="1" applyFill="1" applyBorder="1" applyProtection="1">
      <protection locked="0"/>
    </xf>
    <xf numFmtId="178" fontId="6" fillId="4" borderId="4" xfId="0" applyNumberFormat="1" applyFont="1" applyFill="1" applyBorder="1" applyProtection="1">
      <protection locked="0"/>
    </xf>
    <xf numFmtId="178" fontId="6" fillId="4" borderId="12" xfId="0" applyNumberFormat="1" applyFont="1" applyFill="1" applyBorder="1" applyProtection="1">
      <protection locked="0"/>
    </xf>
    <xf numFmtId="178" fontId="40" fillId="4" borderId="12" xfId="0" applyNumberFormat="1" applyFont="1" applyFill="1" applyBorder="1" applyProtection="1">
      <protection locked="0"/>
    </xf>
    <xf numFmtId="0" fontId="34" fillId="0" borderId="0" xfId="0" quotePrefix="1" applyFont="1" applyFill="1" applyAlignment="1">
      <alignment horizontal="center" vertical="center"/>
    </xf>
    <xf numFmtId="0" fontId="44" fillId="0" borderId="0" xfId="0" quotePrefix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" fontId="6" fillId="4" borderId="6" xfId="0" applyNumberFormat="1" applyFont="1" applyFill="1" applyBorder="1" applyProtection="1">
      <protection locked="0"/>
    </xf>
    <xf numFmtId="1" fontId="6" fillId="4" borderId="7" xfId="0" applyNumberFormat="1" applyFont="1" applyFill="1" applyBorder="1" applyProtection="1">
      <protection locked="0"/>
    </xf>
    <xf numFmtId="1" fontId="6" fillId="4" borderId="8" xfId="0" applyNumberFormat="1" applyFont="1" applyFill="1" applyBorder="1" applyProtection="1">
      <protection locked="0"/>
    </xf>
    <xf numFmtId="1" fontId="6" fillId="4" borderId="9" xfId="0" applyNumberFormat="1" applyFont="1" applyFill="1" applyBorder="1" applyProtection="1">
      <protection locked="0"/>
    </xf>
    <xf numFmtId="1" fontId="6" fillId="4" borderId="11" xfId="0" applyNumberFormat="1" applyFont="1" applyFill="1" applyBorder="1" applyProtection="1">
      <protection locked="0"/>
    </xf>
    <xf numFmtId="1" fontId="6" fillId="4" borderId="4" xfId="0" applyNumberFormat="1" applyFont="1" applyFill="1" applyBorder="1" applyProtection="1">
      <protection locked="0"/>
    </xf>
    <xf numFmtId="1" fontId="6" fillId="4" borderId="12" xfId="0" applyNumberFormat="1" applyFont="1" applyFill="1" applyBorder="1" applyProtection="1">
      <protection locked="0"/>
    </xf>
    <xf numFmtId="1" fontId="40" fillId="4" borderId="8" xfId="0" applyNumberFormat="1" applyFont="1" applyFill="1" applyBorder="1" applyProtection="1">
      <protection locked="0"/>
    </xf>
    <xf numFmtId="1" fontId="40" fillId="4" borderId="10" xfId="0" applyNumberFormat="1" applyFont="1" applyFill="1" applyBorder="1" applyProtection="1">
      <protection locked="0"/>
    </xf>
    <xf numFmtId="1" fontId="40" fillId="4" borderId="12" xfId="0" applyNumberFormat="1" applyFont="1" applyFill="1" applyBorder="1" applyProtection="1">
      <protection locked="0"/>
    </xf>
    <xf numFmtId="0" fontId="40" fillId="4" borderId="10" xfId="0" applyFont="1" applyFill="1" applyBorder="1" applyProtection="1">
      <protection locked="0"/>
    </xf>
    <xf numFmtId="212" fontId="6" fillId="4" borderId="0" xfId="0" applyNumberFormat="1" applyFont="1" applyFill="1" applyProtection="1">
      <protection locked="0"/>
    </xf>
    <xf numFmtId="173" fontId="3" fillId="0" borderId="1" xfId="0" applyNumberFormat="1" applyFont="1" applyFill="1" applyBorder="1"/>
    <xf numFmtId="173" fontId="3" fillId="0" borderId="2" xfId="0" applyNumberFormat="1" applyFont="1" applyFill="1" applyBorder="1"/>
    <xf numFmtId="173" fontId="3" fillId="0" borderId="3" xfId="0" applyNumberFormat="1" applyFont="1" applyFill="1" applyBorder="1"/>
    <xf numFmtId="170" fontId="41" fillId="0" borderId="0" xfId="0" applyNumberFormat="1" applyFont="1" applyAlignment="1" applyProtection="1">
      <alignment horizontal="right" vertical="center"/>
    </xf>
    <xf numFmtId="171" fontId="41" fillId="0" borderId="0" xfId="0" applyNumberFormat="1" applyFont="1" applyAlignment="1" applyProtection="1">
      <alignment horizontal="center" vertical="center"/>
    </xf>
    <xf numFmtId="173" fontId="40" fillId="0" borderId="0" xfId="2" applyNumberFormat="1" applyFont="1" applyAlignment="1" applyProtection="1">
      <alignment horizontal="center" vertical="center"/>
    </xf>
    <xf numFmtId="172" fontId="41" fillId="0" borderId="0" xfId="0" applyNumberFormat="1" applyFont="1" applyAlignment="1" applyProtection="1">
      <alignment horizontal="center" vertical="center"/>
    </xf>
    <xf numFmtId="170" fontId="41" fillId="0" borderId="29" xfId="0" applyNumberFormat="1" applyFont="1" applyBorder="1" applyAlignment="1" applyProtection="1">
      <alignment horizontal="right" vertical="center"/>
    </xf>
    <xf numFmtId="171" fontId="41" fillId="0" borderId="29" xfId="0" applyNumberFormat="1" applyFont="1" applyBorder="1" applyAlignment="1" applyProtection="1">
      <alignment horizontal="center" vertical="center"/>
    </xf>
    <xf numFmtId="173" fontId="40" fillId="0" borderId="29" xfId="2" applyNumberFormat="1" applyFont="1" applyBorder="1" applyAlignment="1" applyProtection="1">
      <alignment horizontal="center" vertical="center"/>
    </xf>
    <xf numFmtId="172" fontId="41" fillId="0" borderId="29" xfId="0" applyNumberFormat="1" applyFont="1" applyBorder="1" applyAlignment="1" applyProtection="1">
      <alignment horizontal="center" vertical="center"/>
    </xf>
    <xf numFmtId="0" fontId="20" fillId="0" borderId="0" xfId="0" applyFont="1" applyFill="1"/>
    <xf numFmtId="0" fontId="0" fillId="0" borderId="0" xfId="0" applyFill="1"/>
    <xf numFmtId="164" fontId="20" fillId="0" borderId="0" xfId="0" applyNumberFormat="1" applyFont="1" applyFill="1"/>
    <xf numFmtId="0" fontId="2" fillId="0" borderId="0" xfId="0" applyFont="1" applyProtection="1"/>
    <xf numFmtId="0" fontId="2" fillId="2" borderId="0" xfId="0" applyFont="1" applyFill="1" applyProtection="1"/>
    <xf numFmtId="166" fontId="4" fillId="3" borderId="0" xfId="0" applyNumberFormat="1" applyFont="1" applyFill="1" applyProtection="1"/>
    <xf numFmtId="0" fontId="4" fillId="3" borderId="0" xfId="0" applyFont="1" applyFill="1" applyProtection="1"/>
    <xf numFmtId="166" fontId="82" fillId="3" borderId="0" xfId="0" applyNumberFormat="1" applyFont="1" applyFill="1" applyProtection="1"/>
    <xf numFmtId="167" fontId="82" fillId="3" borderId="0" xfId="0" applyNumberFormat="1" applyFont="1" applyFill="1" applyProtection="1"/>
    <xf numFmtId="167" fontId="82" fillId="3" borderId="0" xfId="0" applyNumberFormat="1" applyFont="1" applyFill="1" applyAlignment="1" applyProtection="1">
      <alignment horizontal="right"/>
    </xf>
    <xf numFmtId="169" fontId="8" fillId="0" borderId="0" xfId="0" applyNumberFormat="1" applyFont="1" applyProtection="1"/>
    <xf numFmtId="169" fontId="35" fillId="0" borderId="0" xfId="0" applyNumberFormat="1" applyFont="1" applyProtection="1"/>
    <xf numFmtId="166" fontId="4" fillId="0" borderId="25" xfId="0" applyNumberFormat="1" applyFont="1" applyBorder="1" applyProtection="1"/>
    <xf numFmtId="167" fontId="4" fillId="0" borderId="25" xfId="0" applyNumberFormat="1" applyFont="1" applyBorder="1" applyProtection="1"/>
    <xf numFmtId="190" fontId="25" fillId="0" borderId="25" xfId="0" applyNumberFormat="1" applyFont="1" applyBorder="1" applyAlignment="1" applyProtection="1">
      <alignment horizontal="right"/>
    </xf>
    <xf numFmtId="0" fontId="8" fillId="0" borderId="0" xfId="0" applyFont="1" applyProtection="1"/>
    <xf numFmtId="0" fontId="9" fillId="0" borderId="0" xfId="0" applyFont="1" applyAlignment="1" applyProtection="1">
      <alignment indent="1"/>
    </xf>
    <xf numFmtId="191" fontId="19" fillId="0" borderId="0" xfId="0" applyNumberFormat="1" applyFont="1" applyProtection="1"/>
    <xf numFmtId="191" fontId="20" fillId="0" borderId="0" xfId="0" applyNumberFormat="1" applyFont="1" applyProtection="1"/>
    <xf numFmtId="0" fontId="9" fillId="0" borderId="0" xfId="0" applyFont="1" applyFill="1" applyAlignment="1" applyProtection="1">
      <alignment indent="1"/>
    </xf>
    <xf numFmtId="0" fontId="8" fillId="0" borderId="0" xfId="0" applyFont="1" applyFill="1" applyProtection="1"/>
    <xf numFmtId="191" fontId="9" fillId="0" borderId="0" xfId="0" applyNumberFormat="1" applyFont="1" applyFill="1" applyProtection="1"/>
    <xf numFmtId="191" fontId="20" fillId="0" borderId="0" xfId="0" applyNumberFormat="1" applyFont="1" applyFill="1" applyProtection="1"/>
    <xf numFmtId="0" fontId="8" fillId="0" borderId="4" xfId="0" applyFont="1" applyBorder="1" applyProtection="1"/>
    <xf numFmtId="192" fontId="19" fillId="0" borderId="0" xfId="0" applyNumberFormat="1" applyFont="1" applyProtection="1"/>
    <xf numFmtId="192" fontId="20" fillId="0" borderId="0" xfId="0" applyNumberFormat="1" applyFont="1" applyFill="1" applyProtection="1"/>
    <xf numFmtId="192" fontId="20" fillId="0" borderId="0" xfId="0" applyNumberFormat="1" applyFont="1" applyProtection="1"/>
    <xf numFmtId="193" fontId="9" fillId="0" borderId="6" xfId="0" applyNumberFormat="1" applyFont="1" applyFill="1" applyBorder="1" applyProtection="1"/>
    <xf numFmtId="193" fontId="9" fillId="0" borderId="7" xfId="0" applyNumberFormat="1" applyFont="1" applyFill="1" applyBorder="1" applyProtection="1"/>
    <xf numFmtId="193" fontId="9" fillId="0" borderId="8" xfId="0" applyNumberFormat="1" applyFont="1" applyFill="1" applyBorder="1" applyProtection="1"/>
    <xf numFmtId="192" fontId="9" fillId="0" borderId="9" xfId="0" applyNumberFormat="1" applyFont="1" applyBorder="1" applyProtection="1"/>
    <xf numFmtId="192" fontId="9" fillId="0" borderId="0" xfId="0" applyNumberFormat="1" applyFont="1" applyProtection="1"/>
    <xf numFmtId="192" fontId="9" fillId="0" borderId="10" xfId="0" applyNumberFormat="1" applyFont="1" applyBorder="1" applyProtection="1"/>
    <xf numFmtId="192" fontId="9" fillId="0" borderId="11" xfId="0" applyNumberFormat="1" applyFont="1" applyBorder="1" applyProtection="1"/>
    <xf numFmtId="192" fontId="9" fillId="0" borderId="4" xfId="0" applyNumberFormat="1" applyFont="1" applyBorder="1" applyProtection="1"/>
    <xf numFmtId="192" fontId="9" fillId="0" borderId="12" xfId="0" applyNumberFormat="1" applyFont="1" applyBorder="1" applyProtection="1"/>
    <xf numFmtId="0" fontId="10" fillId="0" borderId="0" xfId="0" applyFont="1" applyProtection="1"/>
    <xf numFmtId="0" fontId="11" fillId="0" borderId="0" xfId="0" applyFont="1" applyProtection="1"/>
    <xf numFmtId="194" fontId="9" fillId="0" borderId="0" xfId="0" applyNumberFormat="1" applyFont="1" applyProtection="1"/>
    <xf numFmtId="194" fontId="20" fillId="0" borderId="0" xfId="0" applyNumberFormat="1" applyFont="1" applyProtection="1"/>
    <xf numFmtId="0" fontId="9" fillId="0" borderId="4" xfId="0" applyFont="1" applyBorder="1" applyAlignment="1" applyProtection="1">
      <alignment indent="1"/>
    </xf>
    <xf numFmtId="192" fontId="19" fillId="0" borderId="4" xfId="0" applyNumberFormat="1" applyFont="1" applyBorder="1" applyProtection="1"/>
    <xf numFmtId="0" fontId="13" fillId="0" borderId="0" xfId="0" applyFont="1" applyProtection="1"/>
    <xf numFmtId="192" fontId="9" fillId="0" borderId="15" xfId="0" applyNumberFormat="1" applyFont="1" applyBorder="1" applyProtection="1"/>
    <xf numFmtId="0" fontId="12" fillId="0" borderId="0" xfId="0" applyFont="1" applyProtection="1"/>
    <xf numFmtId="191" fontId="9" fillId="0" borderId="6" xfId="0" applyNumberFormat="1" applyFont="1" applyFill="1" applyBorder="1" applyProtection="1"/>
    <xf numFmtId="191" fontId="9" fillId="0" borderId="7" xfId="0" applyNumberFormat="1" applyFont="1" applyFill="1" applyBorder="1" applyProtection="1"/>
    <xf numFmtId="191" fontId="20" fillId="0" borderId="7" xfId="0" applyNumberFormat="1" applyFont="1" applyBorder="1" applyProtection="1"/>
    <xf numFmtId="191" fontId="20" fillId="0" borderId="8" xfId="0" applyNumberFormat="1" applyFont="1" applyBorder="1" applyProtection="1"/>
    <xf numFmtId="192" fontId="9" fillId="0" borderId="0" xfId="0" applyNumberFormat="1" applyFont="1" applyFill="1" applyProtection="1"/>
    <xf numFmtId="195" fontId="19" fillId="0" borderId="0" xfId="0" applyNumberFormat="1" applyFont="1" applyProtection="1"/>
    <xf numFmtId="0" fontId="13" fillId="0" borderId="4" xfId="0" applyFont="1" applyBorder="1" applyProtection="1"/>
    <xf numFmtId="192" fontId="12" fillId="0" borderId="0" xfId="0" applyNumberFormat="1" applyFont="1" applyProtection="1"/>
    <xf numFmtId="0" fontId="13" fillId="0" borderId="0" xfId="0" applyFont="1" applyFill="1" applyProtection="1"/>
    <xf numFmtId="192" fontId="24" fillId="0" borderId="0" xfId="0" applyNumberFormat="1" applyFont="1" applyFill="1" applyProtection="1"/>
    <xf numFmtId="192" fontId="9" fillId="0" borderId="15" xfId="0" applyNumberFormat="1" applyFont="1" applyFill="1" applyBorder="1" applyProtection="1"/>
    <xf numFmtId="0" fontId="10" fillId="0" borderId="0" xfId="0" applyFont="1" applyFill="1" applyProtection="1"/>
    <xf numFmtId="0" fontId="12" fillId="0" borderId="0" xfId="0" applyFont="1" applyFill="1" applyProtection="1"/>
    <xf numFmtId="192" fontId="12" fillId="0" borderId="0" xfId="0" applyNumberFormat="1" applyFont="1" applyFill="1" applyProtection="1"/>
    <xf numFmtId="0" fontId="13" fillId="0" borderId="0" xfId="0" applyFont="1" applyAlignment="1" applyProtection="1">
      <alignment vertical="top"/>
    </xf>
    <xf numFmtId="192" fontId="8" fillId="0" borderId="0" xfId="0" applyNumberFormat="1" applyFont="1" applyProtection="1"/>
    <xf numFmtId="0" fontId="9" fillId="0" borderId="6" xfId="0" applyFont="1" applyBorder="1" applyAlignment="1" applyProtection="1">
      <alignment indent="1"/>
    </xf>
    <xf numFmtId="9" fontId="8" fillId="0" borderId="8" xfId="0" applyNumberFormat="1" applyFont="1" applyBorder="1" applyProtection="1"/>
    <xf numFmtId="9" fontId="8" fillId="0" borderId="0" xfId="0" applyNumberFormat="1" applyFont="1" applyProtection="1"/>
    <xf numFmtId="0" fontId="9" fillId="0" borderId="11" xfId="0" applyFont="1" applyBorder="1" applyAlignment="1" applyProtection="1">
      <alignment indent="1"/>
    </xf>
    <xf numFmtId="9" fontId="8" fillId="0" borderId="12" xfId="0" applyNumberFormat="1" applyFont="1" applyBorder="1" applyProtection="1"/>
    <xf numFmtId="0" fontId="13" fillId="0" borderId="4" xfId="0" applyFont="1" applyFill="1" applyBorder="1" applyAlignment="1" applyProtection="1">
      <alignment vertical="top"/>
    </xf>
    <xf numFmtId="192" fontId="9" fillId="0" borderId="6" xfId="0" applyNumberFormat="1" applyFont="1" applyBorder="1" applyProtection="1"/>
    <xf numFmtId="192" fontId="9" fillId="0" borderId="7" xfId="0" applyNumberFormat="1" applyFont="1" applyBorder="1" applyProtection="1"/>
    <xf numFmtId="192" fontId="9" fillId="0" borderId="8" xfId="0" applyNumberFormat="1" applyFont="1" applyBorder="1" applyProtection="1"/>
    <xf numFmtId="164" fontId="9" fillId="0" borderId="11" xfId="0" applyNumberFormat="1" applyFont="1" applyBorder="1" applyProtection="1"/>
    <xf numFmtId="164" fontId="9" fillId="0" borderId="4" xfId="0" applyNumberFormat="1" applyFont="1" applyBorder="1" applyProtection="1"/>
    <xf numFmtId="164" fontId="9" fillId="0" borderId="12" xfId="0" applyNumberFormat="1" applyFont="1" applyBorder="1" applyProtection="1"/>
    <xf numFmtId="196" fontId="8" fillId="0" borderId="12" xfId="0" applyNumberFormat="1" applyFont="1" applyBorder="1" applyProtection="1"/>
    <xf numFmtId="196" fontId="8" fillId="0" borderId="0" xfId="0" applyNumberFormat="1" applyFont="1" applyProtection="1"/>
    <xf numFmtId="0" fontId="14" fillId="0" borderId="0" xfId="0" applyFont="1" applyProtection="1"/>
    <xf numFmtId="192" fontId="9" fillId="0" borderId="4" xfId="0" applyNumberFormat="1" applyFont="1" applyFill="1" applyBorder="1" applyProtection="1"/>
    <xf numFmtId="49" fontId="31" fillId="0" borderId="0" xfId="0" applyNumberFormat="1" applyFont="1" applyAlignment="1" applyProtection="1">
      <alignment horizontal="left"/>
    </xf>
    <xf numFmtId="49" fontId="32" fillId="0" borderId="0" xfId="0" applyNumberFormat="1" applyFont="1" applyAlignment="1" applyProtection="1">
      <alignment horizontal="left" indent="1"/>
    </xf>
    <xf numFmtId="187" fontId="33" fillId="0" borderId="0" xfId="0" quotePrefix="1" applyNumberFormat="1" applyFont="1" applyAlignment="1" applyProtection="1">
      <alignment horizontal="right"/>
    </xf>
    <xf numFmtId="176" fontId="33" fillId="0" borderId="0" xfId="0" quotePrefix="1" applyNumberFormat="1" applyFont="1" applyAlignment="1" applyProtection="1">
      <alignment horizontal="right"/>
    </xf>
    <xf numFmtId="0" fontId="2" fillId="0" borderId="0" xfId="0" applyFont="1" applyFill="1" applyProtection="1"/>
    <xf numFmtId="37" fontId="47" fillId="0" borderId="0" xfId="0" applyNumberFormat="1" applyFont="1" applyAlignment="1" applyProtection="1">
      <alignment vertical="center"/>
    </xf>
    <xf numFmtId="37" fontId="36" fillId="0" borderId="0" xfId="0" applyNumberFormat="1" applyFont="1" applyAlignment="1" applyProtection="1">
      <alignment vertical="center"/>
    </xf>
    <xf numFmtId="37" fontId="48" fillId="0" borderId="0" xfId="0" applyNumberFormat="1" applyFont="1" applyAlignment="1" applyProtection="1">
      <alignment vertical="center"/>
    </xf>
    <xf numFmtId="166" fontId="36" fillId="0" borderId="0" xfId="0" applyNumberFormat="1" applyFont="1" applyAlignment="1" applyProtection="1">
      <alignment horizontal="right"/>
    </xf>
    <xf numFmtId="166" fontId="38" fillId="0" borderId="0" xfId="0" applyNumberFormat="1" applyFont="1" applyAlignment="1" applyProtection="1">
      <alignment horizontal="right"/>
    </xf>
    <xf numFmtId="167" fontId="38" fillId="0" borderId="0" xfId="0" applyNumberFormat="1" applyFont="1" applyAlignment="1" applyProtection="1">
      <alignment horizontal="right"/>
    </xf>
    <xf numFmtId="168" fontId="43" fillId="0" borderId="0" xfId="0" applyNumberFormat="1" applyFont="1" applyAlignment="1" applyProtection="1">
      <alignment vertical="center"/>
    </xf>
    <xf numFmtId="0" fontId="38" fillId="0" borderId="0" xfId="0" applyFont="1" applyAlignment="1" applyProtection="1">
      <alignment horizontal="left"/>
    </xf>
    <xf numFmtId="170" fontId="38" fillId="0" borderId="0" xfId="0" applyNumberFormat="1" applyFont="1" applyAlignment="1" applyProtection="1">
      <alignment horizontal="right"/>
    </xf>
    <xf numFmtId="0" fontId="42" fillId="0" borderId="0" xfId="0" applyFont="1" applyAlignment="1" applyProtection="1">
      <alignment horizontal="left" indent="1"/>
    </xf>
    <xf numFmtId="0" fontId="40" fillId="0" borderId="33" xfId="0" applyFont="1" applyBorder="1" applyAlignment="1" applyProtection="1">
      <alignment horizontal="left"/>
    </xf>
    <xf numFmtId="170" fontId="40" fillId="0" borderId="34" xfId="0" applyNumberFormat="1" applyFont="1" applyBorder="1" applyProtection="1"/>
    <xf numFmtId="165" fontId="40" fillId="0" borderId="0" xfId="0" applyNumberFormat="1" applyFont="1" applyProtection="1"/>
    <xf numFmtId="170" fontId="40" fillId="0" borderId="0" xfId="0" applyNumberFormat="1" applyFont="1" applyProtection="1"/>
    <xf numFmtId="170" fontId="40" fillId="0" borderId="35" xfId="0" applyNumberFormat="1" applyFont="1" applyBorder="1" applyProtection="1"/>
    <xf numFmtId="0" fontId="40" fillId="0" borderId="36" xfId="0" applyFont="1" applyBorder="1" applyAlignment="1" applyProtection="1">
      <alignment horizontal="left"/>
    </xf>
    <xf numFmtId="170" fontId="40" fillId="0" borderId="37" xfId="0" applyNumberFormat="1" applyFont="1" applyBorder="1" applyProtection="1"/>
    <xf numFmtId="170" fontId="40" fillId="0" borderId="38" xfId="0" applyNumberFormat="1" applyFont="1" applyBorder="1" applyProtection="1"/>
    <xf numFmtId="0" fontId="40" fillId="0" borderId="39" xfId="0" applyFont="1" applyBorder="1" applyAlignment="1" applyProtection="1">
      <alignment horizontal="left"/>
    </xf>
    <xf numFmtId="197" fontId="40" fillId="0" borderId="40" xfId="0" applyNumberFormat="1" applyFont="1" applyBorder="1" applyAlignment="1" applyProtection="1">
      <alignment horizontal="right"/>
    </xf>
    <xf numFmtId="170" fontId="40" fillId="0" borderId="41" xfId="0" applyNumberFormat="1" applyFont="1" applyBorder="1" applyProtection="1"/>
    <xf numFmtId="170" fontId="40" fillId="0" borderId="42" xfId="0" applyNumberFormat="1" applyFont="1" applyBorder="1" applyProtection="1"/>
    <xf numFmtId="165" fontId="39" fillId="0" borderId="0" xfId="0" applyNumberFormat="1" applyFont="1" applyProtection="1"/>
    <xf numFmtId="170" fontId="39" fillId="0" borderId="0" xfId="0" applyNumberFormat="1" applyFont="1" applyProtection="1"/>
    <xf numFmtId="168" fontId="43" fillId="0" borderId="26" xfId="0" applyNumberFormat="1" applyFont="1" applyBorder="1" applyAlignment="1" applyProtection="1">
      <alignment vertical="center"/>
    </xf>
    <xf numFmtId="37" fontId="36" fillId="0" borderId="26" xfId="0" applyNumberFormat="1" applyFont="1" applyBorder="1" applyAlignment="1" applyProtection="1">
      <alignment vertical="center"/>
    </xf>
    <xf numFmtId="166" fontId="38" fillId="0" borderId="26" xfId="0" applyNumberFormat="1" applyFont="1" applyBorder="1" applyAlignment="1" applyProtection="1">
      <alignment horizontal="right"/>
    </xf>
    <xf numFmtId="167" fontId="38" fillId="0" borderId="26" xfId="0" applyNumberFormat="1" applyFont="1" applyBorder="1" applyAlignment="1" applyProtection="1">
      <alignment horizontal="right"/>
    </xf>
    <xf numFmtId="37" fontId="2" fillId="0" borderId="0" xfId="0" applyNumberFormat="1" applyFont="1" applyAlignment="1" applyProtection="1">
      <alignment vertical="center"/>
    </xf>
    <xf numFmtId="174" fontId="41" fillId="0" borderId="0" xfId="0" applyNumberFormat="1" applyFont="1" applyAlignment="1" applyProtection="1">
      <alignment horizontal="right"/>
    </xf>
    <xf numFmtId="0" fontId="42" fillId="0" borderId="0" xfId="0" applyFont="1" applyFill="1" applyAlignment="1" applyProtection="1">
      <alignment horizontal="left" indent="1"/>
    </xf>
    <xf numFmtId="37" fontId="36" fillId="0" borderId="0" xfId="0" applyNumberFormat="1" applyFont="1" applyFill="1" applyAlignment="1" applyProtection="1">
      <alignment vertical="center"/>
    </xf>
    <xf numFmtId="166" fontId="38" fillId="0" borderId="0" xfId="0" applyNumberFormat="1" applyFont="1" applyFill="1" applyAlignment="1" applyProtection="1">
      <alignment horizontal="right"/>
    </xf>
    <xf numFmtId="165" fontId="40" fillId="0" borderId="0" xfId="0" applyNumberFormat="1" applyFont="1" applyFill="1" applyProtection="1"/>
    <xf numFmtId="170" fontId="40" fillId="0" borderId="0" xfId="0" applyNumberFormat="1" applyFont="1" applyFill="1" applyProtection="1"/>
    <xf numFmtId="170" fontId="40" fillId="0" borderId="35" xfId="0" applyNumberFormat="1" applyFont="1" applyFill="1" applyBorder="1" applyProtection="1"/>
    <xf numFmtId="170" fontId="40" fillId="0" borderId="38" xfId="0" applyNumberFormat="1" applyFont="1" applyFill="1" applyBorder="1" applyProtection="1"/>
    <xf numFmtId="37" fontId="48" fillId="0" borderId="0" xfId="0" applyNumberFormat="1" applyFont="1" applyFill="1" applyAlignment="1" applyProtection="1">
      <alignment vertical="center"/>
    </xf>
    <xf numFmtId="166" fontId="42" fillId="0" borderId="0" xfId="0" applyNumberFormat="1" applyFont="1" applyFill="1" applyAlignment="1" applyProtection="1">
      <alignment horizontal="right"/>
    </xf>
    <xf numFmtId="170" fontId="40" fillId="0" borderId="43" xfId="0" applyNumberFormat="1" applyFont="1" applyFill="1" applyBorder="1" applyAlignment="1" applyProtection="1">
      <alignment vertical="center"/>
    </xf>
    <xf numFmtId="170" fontId="40" fillId="0" borderId="44" xfId="0" applyNumberFormat="1" applyFont="1" applyFill="1" applyBorder="1" applyAlignment="1" applyProtection="1">
      <alignment vertical="center"/>
    </xf>
    <xf numFmtId="0" fontId="40" fillId="0" borderId="0" xfId="0" applyFont="1" applyFill="1" applyProtection="1"/>
    <xf numFmtId="0" fontId="38" fillId="0" borderId="0" xfId="0" applyFont="1" applyFill="1" applyAlignment="1" applyProtection="1">
      <alignment horizontal="left"/>
    </xf>
    <xf numFmtId="37" fontId="2" fillId="0" borderId="0" xfId="0" applyNumberFormat="1" applyFont="1" applyFill="1" applyAlignment="1" applyProtection="1">
      <alignment vertical="center"/>
    </xf>
    <xf numFmtId="174" fontId="41" fillId="0" borderId="0" xfId="0" applyNumberFormat="1" applyFont="1" applyFill="1" applyAlignment="1" applyProtection="1">
      <alignment horizontal="right"/>
    </xf>
    <xf numFmtId="37" fontId="40" fillId="0" borderId="0" xfId="0" applyNumberFormat="1" applyFont="1" applyFill="1" applyAlignment="1" applyProtection="1">
      <alignment vertical="center"/>
    </xf>
    <xf numFmtId="0" fontId="43" fillId="0" borderId="0" xfId="0" applyFont="1" applyFill="1" applyAlignment="1" applyProtection="1">
      <alignment horizontal="left" indent="1"/>
    </xf>
    <xf numFmtId="37" fontId="49" fillId="0" borderId="0" xfId="0" applyNumberFormat="1" applyFont="1" applyFill="1" applyAlignment="1" applyProtection="1">
      <alignment vertical="center"/>
    </xf>
    <xf numFmtId="166" fontId="50" fillId="0" borderId="0" xfId="0" applyNumberFormat="1" applyFont="1" applyFill="1" applyAlignment="1" applyProtection="1">
      <alignment horizontal="right"/>
    </xf>
    <xf numFmtId="165" fontId="44" fillId="0" borderId="0" xfId="0" applyNumberFormat="1" applyFont="1" applyFill="1" applyProtection="1"/>
    <xf numFmtId="196" fontId="40" fillId="0" borderId="45" xfId="0" applyNumberFormat="1" applyFont="1" applyFill="1" applyBorder="1" applyAlignment="1" applyProtection="1">
      <alignment horizontal="right"/>
    </xf>
    <xf numFmtId="196" fontId="40" fillId="0" borderId="46" xfId="0" applyNumberFormat="1" applyFont="1" applyFill="1" applyBorder="1" applyAlignment="1" applyProtection="1">
      <alignment horizontal="right"/>
    </xf>
    <xf numFmtId="196" fontId="40" fillId="0" borderId="47" xfId="0" applyNumberFormat="1" applyFont="1" applyFill="1" applyBorder="1" applyAlignment="1" applyProtection="1">
      <alignment horizontal="right"/>
    </xf>
    <xf numFmtId="0" fontId="59" fillId="0" borderId="0" xfId="0" applyFont="1" applyFill="1" applyAlignment="1" applyProtection="1">
      <alignment horizontal="left"/>
    </xf>
    <xf numFmtId="0" fontId="22" fillId="0" borderId="0" xfId="0" applyFont="1" applyFill="1" applyAlignment="1" applyProtection="1">
      <alignment horizontal="left" indent="1"/>
    </xf>
    <xf numFmtId="170" fontId="2" fillId="0" borderId="0" xfId="0" applyNumberFormat="1" applyFont="1" applyFill="1" applyProtection="1"/>
    <xf numFmtId="192" fontId="2" fillId="0" borderId="0" xfId="0" applyNumberFormat="1" applyFont="1" applyFill="1" applyProtection="1"/>
    <xf numFmtId="170" fontId="2" fillId="0" borderId="59" xfId="0" applyNumberFormat="1" applyFont="1" applyFill="1" applyBorder="1" applyProtection="1"/>
    <xf numFmtId="43" fontId="38" fillId="0" borderId="0" xfId="1" applyFont="1" applyFill="1" applyAlignment="1" applyProtection="1">
      <alignment horizontal="right"/>
    </xf>
    <xf numFmtId="167" fontId="38" fillId="0" borderId="0" xfId="0" applyNumberFormat="1" applyFont="1" applyFill="1" applyAlignment="1" applyProtection="1">
      <alignment horizontal="right"/>
    </xf>
    <xf numFmtId="176" fontId="33" fillId="0" borderId="0" xfId="0" quotePrefix="1" applyNumberFormat="1" applyFont="1" applyFill="1" applyAlignment="1" applyProtection="1">
      <alignment horizontal="right"/>
    </xf>
    <xf numFmtId="187" fontId="33" fillId="0" borderId="0" xfId="0" quotePrefix="1" applyNumberFormat="1" applyFont="1" applyFill="1" applyAlignment="1" applyProtection="1">
      <alignment horizontal="right"/>
    </xf>
    <xf numFmtId="0" fontId="39" fillId="0" borderId="26" xfId="0" applyFont="1" applyBorder="1" applyAlignment="1" applyProtection="1">
      <alignment horizontal="left"/>
    </xf>
    <xf numFmtId="0" fontId="38" fillId="0" borderId="26" xfId="0" applyFont="1" applyBorder="1" applyProtection="1"/>
    <xf numFmtId="0" fontId="42" fillId="0" borderId="26" xfId="0" applyFont="1" applyBorder="1" applyProtection="1"/>
    <xf numFmtId="173" fontId="42" fillId="0" borderId="26" xfId="2" applyNumberFormat="1" applyFont="1" applyBorder="1" applyProtection="1"/>
    <xf numFmtId="170" fontId="52" fillId="0" borderId="51" xfId="0" applyNumberFormat="1" applyFont="1" applyBorder="1" applyAlignment="1" applyProtection="1">
      <alignment horizontal="center"/>
    </xf>
    <xf numFmtId="170" fontId="52" fillId="0" borderId="51" xfId="0" applyNumberFormat="1" applyFont="1" applyBorder="1" applyAlignment="1" applyProtection="1">
      <alignment horizontal="centerContinuous"/>
    </xf>
    <xf numFmtId="166" fontId="52" fillId="0" borderId="51" xfId="0" applyNumberFormat="1" applyFont="1" applyBorder="1" applyAlignment="1" applyProtection="1">
      <alignment horizontal="centerContinuous"/>
    </xf>
    <xf numFmtId="0" fontId="54" fillId="0" borderId="54" xfId="0" applyFont="1" applyBorder="1" applyAlignment="1" applyProtection="1">
      <alignment horizontal="center"/>
    </xf>
    <xf numFmtId="0" fontId="54" fillId="0" borderId="0" xfId="0" applyFont="1" applyAlignment="1" applyProtection="1">
      <alignment horizontal="center"/>
    </xf>
    <xf numFmtId="0" fontId="54" fillId="0" borderId="57" xfId="0" applyFont="1" applyBorder="1" applyAlignment="1" applyProtection="1">
      <alignment horizontal="center"/>
    </xf>
    <xf numFmtId="0" fontId="54" fillId="0" borderId="52" xfId="0" applyFont="1" applyBorder="1" applyAlignment="1" applyProtection="1">
      <alignment horizontal="center"/>
    </xf>
    <xf numFmtId="0" fontId="42" fillId="0" borderId="33" xfId="0" applyFont="1" applyBorder="1" applyAlignment="1" applyProtection="1">
      <alignment horizontal="left"/>
    </xf>
    <xf numFmtId="171" fontId="2" fillId="0" borderId="34" xfId="2" applyNumberFormat="1" applyFont="1" applyBorder="1" applyAlignment="1" applyProtection="1">
      <alignment horizontal="right"/>
    </xf>
    <xf numFmtId="170" fontId="39" fillId="0" borderId="0" xfId="0" applyNumberFormat="1" applyFont="1" applyAlignment="1" applyProtection="1">
      <alignment horizontal="left"/>
    </xf>
    <xf numFmtId="198" fontId="53" fillId="0" borderId="55" xfId="0" applyNumberFormat="1" applyFont="1" applyBorder="1" applyAlignment="1" applyProtection="1">
      <alignment horizontal="center"/>
    </xf>
    <xf numFmtId="198" fontId="53" fillId="0" borderId="0" xfId="0" applyNumberFormat="1" applyFont="1" applyAlignment="1" applyProtection="1">
      <alignment horizontal="center"/>
    </xf>
    <xf numFmtId="198" fontId="53" fillId="0" borderId="52" xfId="0" applyNumberFormat="1" applyFont="1" applyBorder="1" applyAlignment="1" applyProtection="1">
      <alignment horizontal="center"/>
    </xf>
    <xf numFmtId="0" fontId="42" fillId="0" borderId="39" xfId="0" applyFont="1" applyBorder="1" applyAlignment="1" applyProtection="1">
      <alignment horizontal="left"/>
    </xf>
    <xf numFmtId="171" fontId="40" fillId="0" borderId="40" xfId="2" applyNumberFormat="1" applyFont="1" applyBorder="1" applyAlignment="1" applyProtection="1">
      <alignment horizontal="right"/>
    </xf>
    <xf numFmtId="198" fontId="53" fillId="0" borderId="56" xfId="0" applyNumberFormat="1" applyFont="1" applyBorder="1" applyAlignment="1" applyProtection="1">
      <alignment horizontal="center"/>
    </xf>
    <xf numFmtId="198" fontId="53" fillId="0" borderId="32" xfId="0" applyNumberFormat="1" applyFont="1" applyBorder="1" applyAlignment="1" applyProtection="1">
      <alignment horizontal="center"/>
    </xf>
    <xf numFmtId="198" fontId="53" fillId="0" borderId="53" xfId="0" applyNumberFormat="1" applyFont="1" applyBorder="1" applyAlignment="1" applyProtection="1">
      <alignment horizontal="center"/>
    </xf>
    <xf numFmtId="0" fontId="42" fillId="0" borderId="0" xfId="0" applyFont="1" applyAlignment="1" applyProtection="1">
      <alignment horizontal="left"/>
    </xf>
    <xf numFmtId="170" fontId="40" fillId="0" borderId="48" xfId="0" applyNumberFormat="1" applyFont="1" applyBorder="1" applyProtection="1"/>
    <xf numFmtId="170" fontId="40" fillId="0" borderId="49" xfId="0" applyNumberFormat="1" applyFont="1" applyBorder="1" applyProtection="1"/>
    <xf numFmtId="0" fontId="40" fillId="0" borderId="0" xfId="0" applyFont="1" applyAlignment="1" applyProtection="1">
      <alignment horizontal="left" indent="1"/>
    </xf>
    <xf numFmtId="199" fontId="51" fillId="0" borderId="0" xfId="2" applyNumberFormat="1" applyFont="1" applyAlignment="1" applyProtection="1">
      <alignment horizontal="right"/>
    </xf>
    <xf numFmtId="170" fontId="41" fillId="0" borderId="0" xfId="0" applyNumberFormat="1" applyFont="1" applyAlignment="1" applyProtection="1">
      <alignment horizontal="right"/>
    </xf>
    <xf numFmtId="170" fontId="40" fillId="0" borderId="0" xfId="0" applyNumberFormat="1" applyFont="1" applyAlignment="1" applyProtection="1">
      <alignment horizontal="right"/>
    </xf>
    <xf numFmtId="165" fontId="41" fillId="0" borderId="0" xfId="0" applyNumberFormat="1" applyFont="1" applyProtection="1"/>
    <xf numFmtId="170" fontId="41" fillId="0" borderId="26" xfId="0" applyNumberFormat="1" applyFont="1" applyBorder="1" applyAlignment="1" applyProtection="1">
      <alignment horizontal="right"/>
    </xf>
    <xf numFmtId="170" fontId="40" fillId="0" borderId="26" xfId="0" applyNumberFormat="1" applyFont="1" applyBorder="1" applyAlignment="1" applyProtection="1">
      <alignment horizontal="right"/>
    </xf>
    <xf numFmtId="166" fontId="42" fillId="0" borderId="0" xfId="0" applyNumberFormat="1" applyFont="1" applyAlignment="1" applyProtection="1">
      <alignment horizontal="right"/>
    </xf>
    <xf numFmtId="171" fontId="40" fillId="0" borderId="0" xfId="1" applyNumberFormat="1" applyFont="1" applyAlignment="1" applyProtection="1">
      <alignment horizontal="right"/>
    </xf>
    <xf numFmtId="172" fontId="41" fillId="0" borderId="0" xfId="0" applyNumberFormat="1" applyFont="1" applyProtection="1"/>
    <xf numFmtId="172" fontId="40" fillId="0" borderId="0" xfId="0" applyNumberFormat="1" applyFont="1" applyProtection="1"/>
    <xf numFmtId="170" fontId="41" fillId="0" borderId="0" xfId="0" applyNumberFormat="1" applyFont="1" applyProtection="1"/>
    <xf numFmtId="0" fontId="40" fillId="0" borderId="0" xfId="0" applyFont="1" applyProtection="1"/>
    <xf numFmtId="0" fontId="39" fillId="0" borderId="0" xfId="0" applyFont="1" applyAlignment="1" applyProtection="1">
      <alignment horizontal="left"/>
    </xf>
    <xf numFmtId="0" fontId="40" fillId="0" borderId="0" xfId="0" applyFont="1" applyAlignment="1" applyProtection="1">
      <alignment horizontal="center"/>
    </xf>
    <xf numFmtId="0" fontId="40" fillId="0" borderId="33" xfId="0" applyFont="1" applyBorder="1" applyAlignment="1" applyProtection="1">
      <alignment horizontal="left" indent="1"/>
    </xf>
    <xf numFmtId="0" fontId="2" fillId="0" borderId="41" xfId="0" applyFont="1" applyBorder="1" applyProtection="1"/>
    <xf numFmtId="0" fontId="57" fillId="0" borderId="6" xfId="0" applyFont="1" applyBorder="1" applyAlignment="1" applyProtection="1">
      <alignment horizontal="left" indent="1"/>
    </xf>
    <xf numFmtId="0" fontId="57" fillId="0" borderId="7" xfId="0" applyFont="1" applyBorder="1" applyProtection="1"/>
    <xf numFmtId="200" fontId="56" fillId="0" borderId="7" xfId="0" applyNumberFormat="1" applyFont="1" applyBorder="1" applyAlignment="1" applyProtection="1">
      <alignment horizontal="right"/>
    </xf>
    <xf numFmtId="201" fontId="57" fillId="0" borderId="8" xfId="0" applyNumberFormat="1" applyFont="1" applyBorder="1" applyProtection="1"/>
    <xf numFmtId="0" fontId="62" fillId="0" borderId="39" xfId="0" applyFont="1" applyBorder="1" applyAlignment="1" applyProtection="1">
      <alignment horizontal="left" indent="1"/>
    </xf>
    <xf numFmtId="0" fontId="2" fillId="0" borderId="26" xfId="0" applyFont="1" applyBorder="1" applyProtection="1"/>
    <xf numFmtId="170" fontId="40" fillId="0" borderId="40" xfId="0" applyNumberFormat="1" applyFont="1" applyBorder="1" applyProtection="1"/>
    <xf numFmtId="0" fontId="57" fillId="0" borderId="9" xfId="0" applyFont="1" applyBorder="1" applyAlignment="1" applyProtection="1">
      <alignment horizontal="left" indent="1"/>
    </xf>
    <xf numFmtId="0" fontId="57" fillId="0" borderId="0" xfId="0" applyFont="1" applyProtection="1"/>
    <xf numFmtId="200" fontId="56" fillId="0" borderId="14" xfId="0" applyNumberFormat="1" applyFont="1" applyBorder="1" applyAlignment="1" applyProtection="1">
      <alignment horizontal="right"/>
    </xf>
    <xf numFmtId="201" fontId="57" fillId="0" borderId="58" xfId="0" applyNumberFormat="1" applyFont="1" applyBorder="1" applyProtection="1"/>
    <xf numFmtId="200" fontId="56" fillId="0" borderId="0" xfId="0" applyNumberFormat="1" applyFont="1" applyAlignment="1" applyProtection="1">
      <alignment horizontal="right"/>
    </xf>
    <xf numFmtId="201" fontId="57" fillId="0" borderId="10" xfId="0" applyNumberFormat="1" applyFont="1" applyBorder="1" applyProtection="1"/>
    <xf numFmtId="0" fontId="57" fillId="0" borderId="11" xfId="0" applyFont="1" applyBorder="1" applyAlignment="1" applyProtection="1">
      <alignment horizontal="left" indent="1"/>
    </xf>
    <xf numFmtId="0" fontId="57" fillId="0" borderId="4" xfId="0" applyFont="1" applyBorder="1" applyProtection="1"/>
    <xf numFmtId="202" fontId="57" fillId="0" borderId="12" xfId="0" applyNumberFormat="1" applyFont="1" applyBorder="1" applyProtection="1"/>
    <xf numFmtId="0" fontId="2" fillId="0" borderId="7" xfId="0" applyFont="1" applyBorder="1" applyProtection="1"/>
    <xf numFmtId="0" fontId="56" fillId="0" borderId="0" xfId="0" applyFont="1" applyAlignment="1" applyProtection="1">
      <alignment horizontal="center"/>
    </xf>
    <xf numFmtId="203" fontId="57" fillId="0" borderId="10" xfId="0" applyNumberFormat="1" applyFont="1" applyBorder="1" applyProtection="1"/>
    <xf numFmtId="0" fontId="57" fillId="0" borderId="0" xfId="0" applyFont="1" applyAlignment="1" applyProtection="1">
      <alignment horizontal="center"/>
    </xf>
    <xf numFmtId="204" fontId="57" fillId="0" borderId="12" xfId="0" applyNumberFormat="1" applyFont="1" applyBorder="1" applyProtection="1"/>
    <xf numFmtId="0" fontId="2" fillId="0" borderId="4" xfId="0" applyFont="1" applyBorder="1" applyProtection="1"/>
    <xf numFmtId="201" fontId="57" fillId="0" borderId="12" xfId="0" applyNumberFormat="1" applyFont="1" applyBorder="1" applyProtection="1"/>
    <xf numFmtId="167" fontId="39" fillId="0" borderId="0" xfId="0" applyNumberFormat="1" applyFont="1" applyAlignment="1" applyProtection="1">
      <alignment horizontal="right"/>
    </xf>
    <xf numFmtId="0" fontId="57" fillId="0" borderId="0" xfId="0" applyFont="1" applyAlignment="1" applyProtection="1">
      <alignment horizontal="left" indent="1"/>
    </xf>
    <xf numFmtId="201" fontId="57" fillId="0" borderId="0" xfId="0" applyNumberFormat="1" applyFont="1" applyProtection="1"/>
    <xf numFmtId="176" fontId="40" fillId="0" borderId="0" xfId="0" quotePrefix="1" applyNumberFormat="1" applyFont="1" applyAlignment="1" applyProtection="1">
      <alignment horizontal="right"/>
    </xf>
    <xf numFmtId="177" fontId="40" fillId="0" borderId="34" xfId="2" applyNumberFormat="1" applyFont="1" applyBorder="1" applyAlignment="1" applyProtection="1">
      <alignment horizontal="right"/>
    </xf>
    <xf numFmtId="0" fontId="40" fillId="0" borderId="0" xfId="0" applyFont="1" applyAlignment="1" applyProtection="1">
      <alignment horizontal="left"/>
    </xf>
    <xf numFmtId="37" fontId="40" fillId="0" borderId="0" xfId="0" applyNumberFormat="1" applyFont="1" applyAlignment="1" applyProtection="1">
      <alignment vertical="center"/>
    </xf>
    <xf numFmtId="166" fontId="39" fillId="0" borderId="0" xfId="0" applyNumberFormat="1" applyFont="1" applyAlignment="1" applyProtection="1">
      <alignment horizontal="right"/>
    </xf>
    <xf numFmtId="170" fontId="41" fillId="0" borderId="33" xfId="0" applyNumberFormat="1" applyFont="1" applyBorder="1" applyProtection="1"/>
    <xf numFmtId="170" fontId="41" fillId="0" borderId="39" xfId="0" applyNumberFormat="1" applyFont="1" applyBorder="1" applyProtection="1"/>
    <xf numFmtId="170" fontId="40" fillId="0" borderId="26" xfId="0" applyNumberFormat="1" applyFont="1" applyBorder="1" applyProtection="1"/>
    <xf numFmtId="170" fontId="41" fillId="0" borderId="26" xfId="0" applyNumberFormat="1" applyFont="1" applyBorder="1" applyProtection="1"/>
    <xf numFmtId="170" fontId="40" fillId="0" borderId="50" xfId="0" applyNumberFormat="1" applyFont="1" applyBorder="1" applyProtection="1"/>
    <xf numFmtId="170" fontId="58" fillId="0" borderId="35" xfId="0" applyNumberFormat="1" applyFont="1" applyBorder="1" applyAlignment="1" applyProtection="1">
      <alignment horizontal="center"/>
    </xf>
    <xf numFmtId="170" fontId="58" fillId="0" borderId="38" xfId="0" applyNumberFormat="1" applyFont="1" applyBorder="1" applyAlignment="1" applyProtection="1">
      <alignment horizontal="center"/>
    </xf>
    <xf numFmtId="172" fontId="40" fillId="0" borderId="42" xfId="1" applyNumberFormat="1" applyFont="1" applyBorder="1" applyAlignment="1" applyProtection="1">
      <alignment horizontal="center"/>
    </xf>
    <xf numFmtId="0" fontId="59" fillId="0" borderId="0" xfId="0" applyFont="1" applyAlignment="1" applyProtection="1">
      <alignment horizontal="left"/>
    </xf>
    <xf numFmtId="0" fontId="8" fillId="0" borderId="0" xfId="0" applyFont="1" applyAlignment="1" applyProtection="1">
      <alignment horizontal="center"/>
    </xf>
    <xf numFmtId="165" fontId="60" fillId="0" borderId="0" xfId="0" applyNumberFormat="1" applyFont="1" applyProtection="1"/>
    <xf numFmtId="165" fontId="57" fillId="0" borderId="0" xfId="0" applyNumberFormat="1" applyFont="1" applyProtection="1"/>
    <xf numFmtId="0" fontId="61" fillId="0" borderId="0" xfId="0" applyFont="1" applyAlignment="1" applyProtection="1">
      <alignment horizontal="left"/>
    </xf>
    <xf numFmtId="0" fontId="22" fillId="0" borderId="6" xfId="0" applyFont="1" applyBorder="1" applyAlignment="1" applyProtection="1">
      <alignment horizontal="left" indent="1"/>
    </xf>
    <xf numFmtId="0" fontId="22" fillId="0" borderId="11" xfId="0" applyFont="1" applyBorder="1" applyAlignment="1" applyProtection="1">
      <alignment horizontal="left" indent="1"/>
    </xf>
    <xf numFmtId="0" fontId="8" fillId="0" borderId="7" xfId="0" applyFont="1" applyBorder="1" applyProtection="1"/>
    <xf numFmtId="190" fontId="59" fillId="0" borderId="0" xfId="0" applyNumberFormat="1" applyFont="1" applyAlignment="1" applyProtection="1">
      <alignment horizontal="right"/>
    </xf>
    <xf numFmtId="190" fontId="59" fillId="0" borderId="4" xfId="0" applyNumberFormat="1" applyFont="1" applyBorder="1" applyAlignment="1" applyProtection="1">
      <alignment horizontal="right"/>
    </xf>
    <xf numFmtId="205" fontId="22" fillId="0" borderId="0" xfId="0" applyNumberFormat="1" applyFont="1" applyAlignment="1" applyProtection="1">
      <alignment horizontal="right"/>
    </xf>
    <xf numFmtId="176" fontId="42" fillId="0" borderId="0" xfId="0" quotePrefix="1" applyNumberFormat="1" applyFont="1" applyAlignment="1" applyProtection="1">
      <alignment horizontal="right"/>
    </xf>
    <xf numFmtId="187" fontId="42" fillId="0" borderId="0" xfId="0" quotePrefix="1" applyNumberFormat="1" applyFont="1" applyAlignment="1" applyProtection="1">
      <alignment horizontal="right"/>
    </xf>
    <xf numFmtId="191" fontId="8" fillId="0" borderId="0" xfId="0" applyNumberFormat="1" applyFont="1" applyProtection="1"/>
    <xf numFmtId="192" fontId="8" fillId="0" borderId="0" xfId="0" applyNumberFormat="1" applyFont="1" applyFill="1" applyProtection="1"/>
    <xf numFmtId="0" fontId="15" fillId="0" borderId="0" xfId="0" applyFont="1" applyAlignment="1" applyProtection="1">
      <alignment indent="1"/>
    </xf>
    <xf numFmtId="0" fontId="16" fillId="0" borderId="0" xfId="0" applyFont="1" applyProtection="1"/>
    <xf numFmtId="210" fontId="80" fillId="6" borderId="5" xfId="0" applyNumberFormat="1" applyFont="1" applyFill="1" applyBorder="1" applyAlignment="1" applyProtection="1">
      <alignment horizontal="center"/>
    </xf>
    <xf numFmtId="191" fontId="23" fillId="0" borderId="0" xfId="0" applyNumberFormat="1" applyFont="1" applyProtection="1"/>
    <xf numFmtId="192" fontId="9" fillId="0" borderId="16" xfId="0" applyNumberFormat="1" applyFont="1" applyBorder="1" applyProtection="1"/>
    <xf numFmtId="192" fontId="9" fillId="0" borderId="16" xfId="0" applyNumberFormat="1" applyFont="1" applyFill="1" applyBorder="1" applyProtection="1"/>
    <xf numFmtId="192" fontId="15" fillId="0" borderId="16" xfId="0" applyNumberFormat="1" applyFont="1" applyBorder="1" applyProtection="1"/>
    <xf numFmtId="192" fontId="15" fillId="0" borderId="16" xfId="0" applyNumberFormat="1" applyFont="1" applyFill="1" applyBorder="1" applyProtection="1"/>
    <xf numFmtId="0" fontId="17" fillId="0" borderId="0" xfId="0" applyFont="1" applyProtection="1"/>
    <xf numFmtId="0" fontId="18" fillId="0" borderId="0" xfId="0" applyFont="1" applyProtection="1"/>
    <xf numFmtId="0" fontId="18" fillId="0" borderId="0" xfId="0" applyFont="1" applyFill="1" applyProtection="1"/>
    <xf numFmtId="192" fontId="24" fillId="0" borderId="0" xfId="0" applyNumberFormat="1" applyFont="1" applyProtection="1"/>
    <xf numFmtId="0" fontId="7" fillId="0" borderId="0" xfId="0" applyFont="1" applyAlignment="1" applyProtection="1">
      <alignment indent="1"/>
    </xf>
    <xf numFmtId="211" fontId="9" fillId="0" borderId="0" xfId="0" applyNumberFormat="1" applyFont="1" applyAlignment="1" applyProtection="1">
      <alignment horizontal="center"/>
    </xf>
    <xf numFmtId="0" fontId="13" fillId="0" borderId="0" xfId="0" applyFont="1" applyFill="1" applyAlignment="1" applyProtection="1">
      <alignment vertical="top"/>
    </xf>
    <xf numFmtId="0" fontId="72" fillId="0" borderId="0" xfId="0" applyFont="1" applyAlignment="1">
      <alignment horizontal="center" vertical="center" textRotation="90"/>
    </xf>
    <xf numFmtId="0" fontId="2" fillId="0" borderId="0" xfId="0" applyFont="1"/>
    <xf numFmtId="0" fontId="29" fillId="0" borderId="0" xfId="0" applyFont="1" applyAlignment="1">
      <alignment horizontal="center" vertical="center" textRotation="90"/>
    </xf>
    <xf numFmtId="0" fontId="87" fillId="3" borderId="0" xfId="0" applyFont="1" applyFill="1"/>
    <xf numFmtId="0" fontId="88" fillId="3" borderId="0" xfId="0" applyFont="1" applyFill="1"/>
    <xf numFmtId="0" fontId="88" fillId="3" borderId="0" xfId="0" applyFont="1" applyFill="1" applyAlignment="1">
      <alignment horizontal="left" vertical="center"/>
    </xf>
  </cellXfs>
  <cellStyles count="9">
    <cellStyle name="Comma" xfId="1" builtinId="3"/>
    <cellStyle name="Comma 2" xfId="6" xr:uid="{00000000-0005-0000-0000-000006000000}"/>
    <cellStyle name="Hyperlink" xfId="5" builtinId="8"/>
    <cellStyle name="Hyperlink 2 2" xfId="7" xr:uid="{00000000-0005-0000-0000-000007000000}"/>
    <cellStyle name="Normal" xfId="0" builtinId="0"/>
    <cellStyle name="Normal 2 2 2" xfId="8" xr:uid="{00000000-0005-0000-0000-000008000000}"/>
    <cellStyle name="Normal 3" xfId="4" xr:uid="{00000000-0005-0000-0000-000004000000}"/>
    <cellStyle name="Percent" xfId="2" builtinId="5"/>
    <cellStyle name="Percent 3" xfId="3" xr:uid="{00000000-0005-0000-0000-000003000000}"/>
  </cellStyles>
  <dxfs count="2">
    <dxf>
      <font>
        <b/>
        <color theme="0"/>
      </font>
      <fill>
        <patternFill patternType="solid">
          <bgColor rgb="FF947131"/>
        </patternFill>
      </fill>
    </dxf>
    <dxf>
      <font>
        <b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6</xdr:col>
      <xdr:colOff>638287</xdr:colOff>
      <xdr:row>1</xdr:row>
      <xdr:rowOff>871408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C0B4A-0E65-400F-ADF0-74DFC4AD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190500"/>
          <a:ext cx="4052047" cy="871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30480</xdr:rowOff>
    </xdr:from>
    <xdr:to>
      <xdr:col>5</xdr:col>
      <xdr:colOff>381001</xdr:colOff>
      <xdr:row>0</xdr:row>
      <xdr:rowOff>684325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03B2F-BD67-4EB5-96B2-A3A119F1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1" y="30480"/>
          <a:ext cx="3040380" cy="653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22861</xdr:colOff>
      <xdr:row>0</xdr:row>
      <xdr:rowOff>15240</xdr:rowOff>
    </xdr:from>
    <xdr:to>
      <xdr:col>4</xdr:col>
      <xdr:colOff>815341</xdr:colOff>
      <xdr:row>0</xdr:row>
      <xdr:rowOff>680556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B5D35-E5D6-4B61-96DF-D445AF08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1" y="15240"/>
          <a:ext cx="3093720" cy="665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26505</xdr:colOff>
      <xdr:row>0</xdr:row>
      <xdr:rowOff>13252</xdr:rowOff>
    </xdr:from>
    <xdr:to>
      <xdr:col>4</xdr:col>
      <xdr:colOff>159027</xdr:colOff>
      <xdr:row>0</xdr:row>
      <xdr:rowOff>694215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859DC-4992-4B88-A157-0DD9AC2B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31" y="13252"/>
          <a:ext cx="3167270" cy="680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7"/>
  <sheetViews>
    <sheetView showGridLines="0" tabSelected="1" zoomScale="85" zoomScaleNormal="85" workbookViewId="0">
      <pane ySplit="2" topLeftCell="A3" activePane="bottomLeft" state="frozen"/>
      <selection pane="bottomLeft" activeCell="R26" sqref="R26"/>
    </sheetView>
  </sheetViews>
  <sheetFormatPr defaultRowHeight="14.4" outlineLevelCol="1"/>
  <cols>
    <col min="1" max="1" width="3.5546875" style="1" customWidth="1"/>
    <col min="2" max="2" width="2.33203125" style="1" customWidth="1"/>
    <col min="3" max="3" width="17.21875" style="1" customWidth="1"/>
    <col min="4" max="4" width="12.44140625" style="1" customWidth="1"/>
    <col min="5" max="5" width="9.44140625" style="1" customWidth="1"/>
    <col min="6" max="8" width="10.6640625" style="1" customWidth="1"/>
    <col min="9" max="9" width="14.77734375" style="1" customWidth="1"/>
    <col min="10" max="10" width="9" style="1" customWidth="1"/>
    <col min="11" max="11" width="14.5546875" style="1" customWidth="1"/>
    <col min="12" max="12" width="12.88671875" style="1" customWidth="1"/>
    <col min="13" max="13" width="2.33203125" style="1" customWidth="1"/>
    <col min="14" max="14" width="8.88671875" style="1" customWidth="1"/>
    <col min="15" max="15" width="11" style="1" hidden="1" customWidth="1" outlineLevel="1"/>
    <col min="16" max="16" width="8.88671875" style="1" hidden="1" customWidth="1" outlineLevel="1"/>
    <col min="17" max="17" width="8.88671875" style="1" customWidth="1" collapsed="1"/>
    <col min="18" max="16384" width="8.88671875" style="1"/>
  </cols>
  <sheetData>
    <row r="1" spans="2:13" ht="15" customHeight="1" thickBot="1"/>
    <row r="2" spans="2:13" ht="71.400000000000006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ht="9.6" customHeight="1">
      <c r="B3" s="5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6"/>
    </row>
    <row r="4" spans="2:13" ht="29.4" customHeight="1">
      <c r="B4" s="5"/>
      <c r="C4" s="7" t="s">
        <v>0</v>
      </c>
      <c r="D4" s="113"/>
      <c r="E4" s="113"/>
      <c r="F4" s="113"/>
      <c r="G4" s="113"/>
      <c r="H4" s="113"/>
      <c r="I4" s="113"/>
      <c r="J4" s="113"/>
      <c r="K4" s="113"/>
      <c r="L4" s="8" t="s">
        <v>1</v>
      </c>
      <c r="M4" s="6"/>
    </row>
    <row r="5" spans="2:13" ht="16.8" customHeight="1">
      <c r="B5" s="5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6"/>
    </row>
    <row r="6" spans="2:13" ht="16.8" customHeight="1">
      <c r="B6" s="5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6"/>
    </row>
    <row r="7" spans="2:13" ht="16.8" customHeight="1">
      <c r="B7" s="5"/>
      <c r="C7" s="9" t="s">
        <v>2</v>
      </c>
      <c r="D7" s="10"/>
      <c r="E7" s="10"/>
      <c r="F7" s="10"/>
      <c r="G7" s="10"/>
      <c r="H7" s="9" t="s">
        <v>3</v>
      </c>
      <c r="I7" s="11"/>
      <c r="J7" s="113"/>
      <c r="K7" s="113"/>
      <c r="L7" s="10"/>
      <c r="M7" s="6"/>
    </row>
    <row r="8" spans="2:13" ht="5.4" customHeight="1">
      <c r="B8" s="5"/>
      <c r="C8" s="10"/>
      <c r="D8" s="10"/>
      <c r="E8" s="10"/>
      <c r="F8" s="10"/>
      <c r="G8" s="10"/>
      <c r="H8" s="10"/>
      <c r="K8" s="10"/>
      <c r="L8" s="10"/>
      <c r="M8" s="6"/>
    </row>
    <row r="9" spans="2:13" ht="16.8" customHeight="1">
      <c r="B9" s="5"/>
      <c r="C9" s="16" t="s">
        <v>4</v>
      </c>
      <c r="D9" s="10"/>
      <c r="E9" s="10"/>
      <c r="F9" s="10"/>
      <c r="G9" s="10"/>
      <c r="H9" s="10" t="s">
        <v>5</v>
      </c>
      <c r="K9" s="10"/>
      <c r="L9" s="146">
        <f>Input!F200</f>
        <v>0</v>
      </c>
      <c r="M9" s="6"/>
    </row>
    <row r="10" spans="2:13" ht="16.8" customHeight="1">
      <c r="B10" s="5"/>
      <c r="C10" s="16" t="s">
        <v>6</v>
      </c>
      <c r="D10" s="10"/>
      <c r="E10" s="10"/>
      <c r="F10" s="10"/>
      <c r="G10" s="10"/>
      <c r="H10" s="10" t="s">
        <v>7</v>
      </c>
      <c r="K10" s="10"/>
      <c r="L10" s="146">
        <f>Input!F201</f>
        <v>0</v>
      </c>
      <c r="M10" s="6"/>
    </row>
    <row r="11" spans="2:13" ht="16.8" customHeight="1">
      <c r="B11" s="5"/>
      <c r="C11" s="16" t="s">
        <v>8</v>
      </c>
      <c r="D11" s="10"/>
      <c r="E11" s="10"/>
      <c r="F11" s="10"/>
      <c r="G11" s="10"/>
      <c r="H11" s="10" t="s">
        <v>9</v>
      </c>
      <c r="K11" s="10"/>
      <c r="L11" s="146">
        <f>Input!F212</f>
        <v>0</v>
      </c>
      <c r="M11" s="6"/>
    </row>
    <row r="12" spans="2:13" ht="16.8" customHeight="1">
      <c r="B12" s="5"/>
      <c r="D12" s="10"/>
      <c r="E12" s="10"/>
      <c r="F12" s="10"/>
      <c r="G12" s="10"/>
      <c r="H12" s="10" t="s">
        <v>10</v>
      </c>
      <c r="K12" s="10"/>
      <c r="L12" s="146">
        <f>Model!D127</f>
        <v>0</v>
      </c>
      <c r="M12" s="6"/>
    </row>
    <row r="13" spans="2:13" ht="16.8" customHeight="1">
      <c r="B13" s="5"/>
      <c r="C13" s="10"/>
      <c r="D13" s="10"/>
      <c r="E13" s="10"/>
      <c r="F13" s="10"/>
      <c r="G13" s="10"/>
      <c r="H13" s="10" t="s">
        <v>11</v>
      </c>
      <c r="K13" s="10"/>
      <c r="L13" s="146">
        <f>Model!D165</f>
        <v>0</v>
      </c>
      <c r="M13" s="6"/>
    </row>
    <row r="14" spans="2:13" ht="16.8" customHeight="1">
      <c r="B14" s="5"/>
      <c r="C14" s="123" t="s">
        <v>12</v>
      </c>
      <c r="D14" s="113"/>
      <c r="E14" s="10"/>
      <c r="F14" s="10"/>
      <c r="G14" s="10"/>
      <c r="H14" s="10" t="s">
        <v>13</v>
      </c>
      <c r="K14" s="10"/>
      <c r="L14" s="146">
        <f>IF(SUM(Model!I226:N226)&gt;0,1,0)</f>
        <v>0</v>
      </c>
      <c r="M14" s="6"/>
    </row>
    <row r="15" spans="2:13" ht="16.8">
      <c r="B15" s="5"/>
      <c r="C15" s="113"/>
      <c r="D15" s="113"/>
      <c r="E15" s="10"/>
      <c r="F15" s="10"/>
      <c r="G15" s="10"/>
      <c r="H15" s="358" t="s">
        <v>14</v>
      </c>
      <c r="I15" s="359"/>
      <c r="J15" s="359"/>
      <c r="K15" s="358"/>
      <c r="L15" s="360">
        <f>IF(ROUND(SUMPRODUCT(ABS(Model!$F$580:$M$580)),2)=0,0,1)</f>
        <v>0</v>
      </c>
      <c r="M15" s="6"/>
    </row>
    <row r="16" spans="2:13" ht="16.8" customHeight="1">
      <c r="B16" s="5"/>
      <c r="C16" s="144" t="s">
        <v>15</v>
      </c>
      <c r="D16" s="147" t="s">
        <v>16</v>
      </c>
      <c r="E16" s="10"/>
      <c r="F16" s="10"/>
      <c r="G16" s="10"/>
      <c r="K16" s="10"/>
      <c r="L16" s="10"/>
      <c r="M16" s="6"/>
    </row>
    <row r="17" spans="2:15" ht="16.8" customHeight="1">
      <c r="B17" s="5"/>
      <c r="C17" s="144" t="s">
        <v>17</v>
      </c>
      <c r="D17" s="124" t="s">
        <v>18</v>
      </c>
      <c r="E17" s="10"/>
      <c r="F17" s="10"/>
      <c r="G17" s="10"/>
      <c r="K17" s="10"/>
      <c r="L17" s="10"/>
      <c r="M17" s="6"/>
    </row>
    <row r="18" spans="2:15" ht="16.8" customHeight="1">
      <c r="B18" s="5"/>
      <c r="C18" s="144" t="s">
        <v>19</v>
      </c>
      <c r="D18" s="125" t="s">
        <v>20</v>
      </c>
      <c r="E18" s="10"/>
      <c r="F18" s="10"/>
      <c r="G18" s="10"/>
      <c r="K18" s="10"/>
      <c r="L18" s="10"/>
      <c r="M18" s="6"/>
    </row>
    <row r="19" spans="2:15" ht="16.8" customHeight="1">
      <c r="B19" s="5"/>
      <c r="C19" s="10"/>
      <c r="D19" s="10"/>
      <c r="E19" s="10"/>
      <c r="F19" s="10"/>
      <c r="G19" s="10"/>
      <c r="K19" s="10"/>
      <c r="L19" s="10"/>
      <c r="M19" s="6"/>
      <c r="O19" s="127" t="s">
        <v>21</v>
      </c>
    </row>
    <row r="20" spans="2:15" ht="16.8" customHeight="1">
      <c r="B20" s="5"/>
      <c r="C20" s="123" t="s">
        <v>22</v>
      </c>
      <c r="D20" s="10"/>
      <c r="E20" s="10"/>
      <c r="F20" s="10"/>
      <c r="G20" s="10"/>
      <c r="K20" s="10"/>
      <c r="L20" s="10"/>
      <c r="M20" s="6"/>
      <c r="O20" s="128" t="s">
        <v>23</v>
      </c>
    </row>
    <row r="21" spans="2:15" ht="4.8" customHeight="1">
      <c r="B21" s="5"/>
      <c r="C21" s="10"/>
      <c r="D21" s="10"/>
      <c r="E21" s="10"/>
      <c r="F21" s="10"/>
      <c r="G21" s="10"/>
      <c r="K21" s="10"/>
      <c r="L21" s="10"/>
      <c r="M21" s="6"/>
      <c r="O21" s="129"/>
    </row>
    <row r="22" spans="2:15" ht="16.8" customHeight="1">
      <c r="B22" s="5"/>
      <c r="C22" s="10" t="s">
        <v>24</v>
      </c>
      <c r="D22" s="148">
        <v>0</v>
      </c>
      <c r="E22" s="10"/>
      <c r="F22" s="10"/>
      <c r="G22" s="10"/>
      <c r="K22" s="10"/>
      <c r="L22" s="10"/>
      <c r="M22" s="6"/>
      <c r="O22" s="130" t="s">
        <v>25</v>
      </c>
    </row>
    <row r="23" spans="2:15" ht="16.8" customHeight="1">
      <c r="B23" s="5"/>
      <c r="C23" s="10"/>
      <c r="D23" s="10"/>
      <c r="E23" s="10"/>
      <c r="F23" s="10"/>
      <c r="G23" s="10"/>
      <c r="K23" s="10"/>
      <c r="L23" s="10"/>
      <c r="M23" s="6"/>
      <c r="O23" s="149">
        <v>1</v>
      </c>
    </row>
    <row r="24" spans="2:15" ht="16.8" customHeight="1">
      <c r="B24" s="5"/>
      <c r="C24" s="126" t="str">
        <f>IF($D$22=1,"This model now has the circularity turned on. Please confirm the Excel settings below","")</f>
        <v/>
      </c>
      <c r="D24" s="126"/>
      <c r="E24" s="10"/>
      <c r="F24" s="10"/>
      <c r="G24" s="10"/>
      <c r="K24" s="10"/>
      <c r="L24" s="10"/>
      <c r="M24" s="6"/>
      <c r="O24" s="150">
        <v>0</v>
      </c>
    </row>
    <row r="25" spans="2:15" ht="16.8" customHeight="1">
      <c r="B25" s="5"/>
      <c r="C25" s="126" t="str">
        <f>IF($D$22=1,"PC","")</f>
        <v/>
      </c>
      <c r="D25" s="126" t="str">
        <f>IF($D$22=1,"File - Options - Formulas - Check the box on the top-right labeled 'Enable iterative calculation'.","")</f>
        <v/>
      </c>
      <c r="E25" s="10"/>
      <c r="F25" s="10"/>
      <c r="G25" s="10"/>
      <c r="H25" s="10"/>
      <c r="I25" s="10"/>
      <c r="J25" s="10"/>
      <c r="K25" s="10"/>
      <c r="L25" s="10"/>
      <c r="M25" s="6"/>
    </row>
    <row r="26" spans="2:15" ht="16.8" customHeight="1">
      <c r="B26" s="5"/>
      <c r="C26" s="126" t="str">
        <f>IF($D$22=1,"Mac","")</f>
        <v/>
      </c>
      <c r="D26" s="126" t="str">
        <f>IF($D$22=1,"Excel - Preferences - Calculation - Check the box near the bottom labeled 'Use iterative calculation'.","")</f>
        <v/>
      </c>
      <c r="E26" s="10"/>
      <c r="F26" s="10"/>
      <c r="G26" s="10"/>
      <c r="H26" s="10"/>
      <c r="I26" s="10"/>
      <c r="J26" s="10"/>
      <c r="K26" s="10"/>
      <c r="L26" s="10"/>
      <c r="M26" s="6"/>
    </row>
    <row r="27" spans="2:15" ht="16.8" customHeight="1">
      <c r="B27" s="5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6"/>
    </row>
    <row r="28" spans="2:15" ht="16.8" customHeight="1">
      <c r="B28" s="5"/>
      <c r="C28" s="616" t="s">
        <v>551</v>
      </c>
      <c r="D28" s="12"/>
      <c r="E28" s="12"/>
      <c r="F28" s="12"/>
      <c r="G28" s="12"/>
      <c r="H28" s="12"/>
      <c r="I28" s="12"/>
      <c r="J28" s="12"/>
      <c r="K28" s="12"/>
      <c r="L28" s="12"/>
      <c r="M28" s="6"/>
    </row>
    <row r="29" spans="2:15" ht="16.8" customHeight="1">
      <c r="B29" s="5"/>
      <c r="C29" s="617" t="s">
        <v>552</v>
      </c>
      <c r="D29" s="12"/>
      <c r="E29" s="12"/>
      <c r="F29" s="12"/>
      <c r="G29" s="12"/>
      <c r="H29" s="12"/>
      <c r="I29" s="12"/>
      <c r="J29" s="12"/>
      <c r="K29" s="12"/>
      <c r="L29" s="12"/>
      <c r="M29" s="6"/>
    </row>
    <row r="30" spans="2:15" ht="16.8" customHeight="1">
      <c r="B30" s="5"/>
      <c r="C30" s="617" t="s">
        <v>553</v>
      </c>
      <c r="D30" s="12"/>
      <c r="E30" s="12"/>
      <c r="F30" s="12"/>
      <c r="G30" s="12"/>
      <c r="H30" s="12"/>
      <c r="I30" s="12"/>
      <c r="J30" s="12"/>
      <c r="K30" s="12"/>
      <c r="L30" s="12"/>
      <c r="M30" s="6"/>
    </row>
    <row r="31" spans="2:15" ht="16.8" customHeight="1">
      <c r="B31" s="5"/>
      <c r="C31" s="617" t="s">
        <v>554</v>
      </c>
      <c r="D31" s="12"/>
      <c r="E31" s="12"/>
      <c r="F31" s="12"/>
      <c r="G31" s="12"/>
      <c r="H31" s="12"/>
      <c r="I31" s="12"/>
      <c r="J31" s="12"/>
      <c r="K31" s="12"/>
      <c r="L31" s="12"/>
      <c r="M31" s="6"/>
    </row>
    <row r="32" spans="2:15" ht="16.8" customHeight="1">
      <c r="B32" s="5"/>
      <c r="C32" s="618" t="s">
        <v>555</v>
      </c>
      <c r="D32" s="12"/>
      <c r="E32" s="12"/>
      <c r="F32" s="12"/>
      <c r="G32" s="12"/>
      <c r="H32" s="12"/>
      <c r="I32" s="12"/>
      <c r="J32" s="12"/>
      <c r="K32" s="12"/>
      <c r="L32" s="12"/>
      <c r="M32" s="6"/>
    </row>
    <row r="33" spans="2:13" ht="16.8" customHeight="1">
      <c r="B33" s="5"/>
      <c r="C33" s="617" t="s">
        <v>556</v>
      </c>
      <c r="D33" s="12"/>
      <c r="E33" s="12"/>
      <c r="F33" s="12"/>
      <c r="G33" s="12"/>
      <c r="H33" s="12"/>
      <c r="I33" s="12"/>
      <c r="J33" s="12"/>
      <c r="K33" s="12"/>
      <c r="L33" s="12"/>
      <c r="M33" s="6"/>
    </row>
    <row r="34" spans="2:13" ht="16.8" customHeight="1">
      <c r="B34" s="5"/>
      <c r="C34" s="618" t="s">
        <v>557</v>
      </c>
      <c r="D34" s="12"/>
      <c r="E34" s="12"/>
      <c r="F34" s="12"/>
      <c r="G34" s="12"/>
      <c r="H34" s="12"/>
      <c r="I34" s="12"/>
      <c r="J34" s="12"/>
      <c r="K34" s="12"/>
      <c r="L34" s="12"/>
      <c r="M34" s="6"/>
    </row>
    <row r="35" spans="2:13" ht="16.8" customHeight="1">
      <c r="B35" s="5"/>
      <c r="C35" s="618" t="s">
        <v>558</v>
      </c>
      <c r="D35" s="12"/>
      <c r="E35" s="12"/>
      <c r="F35" s="12"/>
      <c r="G35" s="12"/>
      <c r="H35" s="12"/>
      <c r="I35" s="12"/>
      <c r="J35" s="12"/>
      <c r="K35" s="12"/>
      <c r="L35" s="12"/>
      <c r="M35" s="6"/>
    </row>
    <row r="36" spans="2:13" ht="16.8" customHeight="1">
      <c r="B36" s="5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"/>
    </row>
    <row r="37" spans="2:13" ht="17.399999999999999" customHeight="1" thickBot="1"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/>
    </row>
  </sheetData>
  <dataValidations count="1">
    <dataValidation type="list" allowBlank="1" showInputMessage="1" showErrorMessage="1" sqref="D22" xr:uid="{00000000-0002-0000-0000-000000000000}">
      <formula1>$O$23:$O$24</formula1>
    </dataValidation>
  </dataValidations>
  <hyperlinks>
    <hyperlink ref="C9" location="Output!A1" display="Ouput" xr:uid="{00000000-0004-0000-0000-000000000000}"/>
    <hyperlink ref="C10" location="Input!A1" display="Input" xr:uid="{00000000-0004-0000-0000-000001000000}"/>
    <hyperlink ref="C11" location="Model!A1" display="Model" xr:uid="{00000000-0004-0000-0000-000002000000}"/>
  </hyperlink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0"/>
  <sheetViews>
    <sheetView showGridLines="0" zoomScale="85" zoomScaleNormal="85" workbookViewId="0">
      <pane ySplit="2" topLeftCell="A63" activePane="bottomLeft" state="frozen"/>
      <selection pane="bottomLeft" activeCell="U78" sqref="U78"/>
    </sheetView>
  </sheetViews>
  <sheetFormatPr defaultRowHeight="16.8" outlineLevelRow="1"/>
  <cols>
    <col min="1" max="1" width="6" style="122" customWidth="1"/>
    <col min="2" max="2" width="3.21875" style="36" customWidth="1"/>
    <col min="3" max="3" width="11.5546875" style="36" customWidth="1"/>
    <col min="4" max="4" width="13.21875" style="36" customWidth="1"/>
    <col min="5" max="5" width="11.33203125" style="36" customWidth="1"/>
    <col min="6" max="7" width="11.77734375" style="36" customWidth="1"/>
    <col min="8" max="8" width="11.5546875" style="36" customWidth="1"/>
    <col min="9" max="17" width="11.77734375" style="36" customWidth="1"/>
    <col min="18" max="18" width="8.88671875" style="36" customWidth="1"/>
    <col min="19" max="16384" width="8.88671875" style="36"/>
  </cols>
  <sheetData>
    <row r="1" spans="1:17" ht="56.4" customHeigh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22" t="s">
        <v>26</v>
      </c>
      <c r="B2" s="19" t="str">
        <f>"Nestlé S.A.  |  CHF millions  |  Scenario: "&amp;INDEX(Input!$B$12:$B$14,Input!$D$6)</f>
        <v>Nestlé S.A.  |  CHF millions  |  Scenario: Base Case</v>
      </c>
      <c r="C2" s="19"/>
      <c r="D2" s="19"/>
      <c r="E2" s="19"/>
      <c r="F2" s="19"/>
      <c r="G2" s="19"/>
      <c r="H2" s="19"/>
      <c r="I2" s="20"/>
      <c r="J2" s="20"/>
      <c r="K2" s="20"/>
      <c r="L2" s="20"/>
      <c r="M2" s="20"/>
      <c r="N2" s="20"/>
      <c r="O2" s="20"/>
      <c r="P2" s="20"/>
      <c r="Q2" s="20"/>
    </row>
    <row r="4" spans="1:17">
      <c r="A4" s="122" t="s">
        <v>26</v>
      </c>
      <c r="B4" s="21" t="s">
        <v>27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outlineLevel="1">
      <c r="B5" s="151"/>
      <c r="C5" s="23"/>
      <c r="D5" s="23"/>
      <c r="E5" s="24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outlineLevel="1">
      <c r="B6" s="152" t="str">
        <f>Input!$B$8</f>
        <v>All figures in CHF millions unless stated</v>
      </c>
      <c r="F6" s="26"/>
      <c r="G6" s="27"/>
      <c r="H6" s="26"/>
      <c r="I6" s="26"/>
      <c r="J6" s="28"/>
      <c r="K6" s="28"/>
      <c r="L6" s="29"/>
      <c r="M6" s="29"/>
      <c r="N6" s="29"/>
      <c r="O6" s="29"/>
    </row>
    <row r="7" spans="1:17" outlineLevel="1">
      <c r="B7" s="152"/>
      <c r="F7" s="26"/>
      <c r="G7" s="27"/>
      <c r="H7" s="26"/>
      <c r="I7" s="26"/>
      <c r="J7" s="28"/>
      <c r="K7" s="28"/>
      <c r="L7" s="29"/>
      <c r="M7" s="29"/>
      <c r="N7" s="29"/>
      <c r="O7" s="29"/>
    </row>
    <row r="8" spans="1:17" outlineLevel="1">
      <c r="B8" s="73" t="s">
        <v>28</v>
      </c>
      <c r="D8" s="153">
        <v>2</v>
      </c>
    </row>
    <row r="9" spans="1:17" outlineLevel="1"/>
    <row r="10" spans="1:17" outlineLevel="1">
      <c r="D10" s="32" t="s">
        <v>29</v>
      </c>
      <c r="E10" s="33"/>
      <c r="F10" s="33"/>
      <c r="G10" s="33"/>
      <c r="H10" s="33"/>
      <c r="L10" s="32" t="s">
        <v>30</v>
      </c>
      <c r="M10" s="33"/>
      <c r="N10" s="33"/>
      <c r="O10" s="33"/>
      <c r="P10" s="33"/>
    </row>
    <row r="11" spans="1:17" ht="20.399999999999999" customHeight="1" outlineLevel="1">
      <c r="B11" s="34"/>
      <c r="C11" s="34"/>
      <c r="D11" s="34"/>
      <c r="E11" s="34"/>
      <c r="F11" s="34"/>
      <c r="G11" s="34"/>
      <c r="H11" s="34"/>
      <c r="I11" s="26"/>
      <c r="J11" s="35"/>
      <c r="K11" s="35"/>
      <c r="P11" s="34"/>
      <c r="Q11" s="34"/>
    </row>
    <row r="12" spans="1:17" outlineLevel="1">
      <c r="D12" s="34"/>
      <c r="E12" s="37" t="s">
        <v>31</v>
      </c>
      <c r="F12" s="37" t="s">
        <v>32</v>
      </c>
      <c r="G12" s="37" t="s">
        <v>32</v>
      </c>
      <c r="H12" s="37" t="s">
        <v>33</v>
      </c>
      <c r="I12" s="154"/>
      <c r="J12" s="154"/>
      <c r="K12" s="154"/>
      <c r="P12" s="131" t="s">
        <v>34</v>
      </c>
    </row>
    <row r="13" spans="1:17" outlineLevel="1">
      <c r="D13" s="34"/>
      <c r="E13" s="37" t="s">
        <v>35</v>
      </c>
      <c r="F13" s="37" t="s">
        <v>35</v>
      </c>
      <c r="G13" s="37" t="s">
        <v>36</v>
      </c>
      <c r="H13" s="37" t="s">
        <v>37</v>
      </c>
      <c r="I13" s="154"/>
      <c r="J13" s="154"/>
      <c r="K13" s="154"/>
      <c r="L13" s="29" t="s">
        <v>38</v>
      </c>
      <c r="M13" s="29"/>
      <c r="N13" s="38"/>
      <c r="O13" s="155">
        <f>Input!$F$209</f>
        <v>1.4999999999999999E-2</v>
      </c>
      <c r="P13" s="156">
        <v>5.0000000000000001E-3</v>
      </c>
    </row>
    <row r="14" spans="1:17" outlineLevel="1">
      <c r="E14" s="157">
        <f>Model!$G$277</f>
        <v>270962.41521475755</v>
      </c>
      <c r="F14" s="39"/>
      <c r="G14" s="39"/>
      <c r="I14" s="154"/>
      <c r="J14" s="154"/>
      <c r="K14" s="154"/>
      <c r="L14" s="29" t="s">
        <v>39</v>
      </c>
      <c r="N14" s="38"/>
      <c r="O14" s="155">
        <f>Input!$N$257</f>
        <v>5.0865748886442602E-2</v>
      </c>
      <c r="P14" s="158">
        <v>5.0000000000000001E-3</v>
      </c>
    </row>
    <row r="15" spans="1:17" ht="20.399999999999999" customHeight="1" outlineLevel="1">
      <c r="B15" s="151"/>
      <c r="D15" s="114">
        <v>1</v>
      </c>
      <c r="E15" s="159">
        <f t="dataTable" ref="E15:E17" dt2D="0" dtr="0" r1="D8"/>
        <v>425996.36460787943</v>
      </c>
      <c r="F15" s="160">
        <f>E15-$O$15</f>
        <v>405609.88450787944</v>
      </c>
      <c r="G15" s="161">
        <f>F15/$O$16</f>
        <v>157.64084123897374</v>
      </c>
      <c r="H15" s="162">
        <f>G15/$O$17-1</f>
        <v>1.1122985560628935</v>
      </c>
      <c r="I15" s="40"/>
      <c r="J15" s="41"/>
      <c r="K15" s="41"/>
      <c r="L15" s="311" t="s">
        <v>40</v>
      </c>
      <c r="M15" s="312"/>
      <c r="N15" s="313" t="s">
        <v>41</v>
      </c>
      <c r="O15" s="314">
        <f>Input!$N$196+Input!$N$197+Input!$N$199-Input!$N$198</f>
        <v>20386.480100000001</v>
      </c>
      <c r="P15" s="43"/>
    </row>
    <row r="16" spans="1:17" ht="20.399999999999999" customHeight="1" outlineLevel="1">
      <c r="B16" s="151"/>
      <c r="D16" s="115">
        <v>2</v>
      </c>
      <c r="E16" s="163">
        <v>270962.41521475755</v>
      </c>
      <c r="F16" s="164">
        <f>E16-$O$15</f>
        <v>250575.93511475757</v>
      </c>
      <c r="G16" s="165">
        <f>F16/$O$16</f>
        <v>97.386682905074835</v>
      </c>
      <c r="H16" s="166">
        <f>G16/$O$17-1</f>
        <v>0.30492674400475472</v>
      </c>
      <c r="I16" s="40"/>
      <c r="J16" s="41"/>
      <c r="K16" s="41"/>
      <c r="L16" s="29" t="s">
        <v>42</v>
      </c>
      <c r="M16" s="29"/>
      <c r="N16" s="42" t="s">
        <v>43</v>
      </c>
      <c r="O16" s="167">
        <f>Input!$F$207</f>
        <v>2573</v>
      </c>
      <c r="P16" s="43"/>
      <c r="Q16" s="44"/>
    </row>
    <row r="17" spans="2:17" outlineLevel="1">
      <c r="B17" s="45"/>
      <c r="C17" s="34"/>
      <c r="D17" s="116">
        <v>3</v>
      </c>
      <c r="E17" s="168">
        <v>163554.21792483891</v>
      </c>
      <c r="F17" s="169">
        <f>E17-$O$15</f>
        <v>143167.7378248389</v>
      </c>
      <c r="G17" s="170">
        <f>F17/$O$16</f>
        <v>55.642338835926509</v>
      </c>
      <c r="H17" s="171">
        <f>G17/$O$17-1</f>
        <v>-0.25442397379168546</v>
      </c>
      <c r="I17" s="46"/>
      <c r="J17" s="46"/>
      <c r="K17" s="34"/>
      <c r="L17" s="47" t="s">
        <v>44</v>
      </c>
      <c r="M17" s="48"/>
      <c r="N17" s="49" t="s">
        <v>45</v>
      </c>
      <c r="O17" s="172">
        <f>Input!$F$208</f>
        <v>74.63</v>
      </c>
      <c r="P17" s="43"/>
      <c r="Q17" s="34"/>
    </row>
    <row r="18" spans="2:17" outlineLevel="1">
      <c r="B18" s="50"/>
      <c r="C18" s="34"/>
      <c r="D18" s="34"/>
      <c r="I18" s="46"/>
      <c r="J18" s="46"/>
      <c r="K18" s="34"/>
      <c r="L18" s="29"/>
      <c r="O18" s="38"/>
      <c r="P18" s="173"/>
      <c r="Q18" s="44"/>
    </row>
    <row r="19" spans="2:17" outlineLevel="1"/>
    <row r="20" spans="2:17" outlineLevel="1"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spans="2:17" outlineLevel="1">
      <c r="D21" s="51" t="s">
        <v>46</v>
      </c>
      <c r="E21" s="33"/>
      <c r="F21" s="33"/>
      <c r="G21" s="33"/>
      <c r="H21" s="33"/>
      <c r="K21" s="54"/>
      <c r="L21" s="52" t="s">
        <v>47</v>
      </c>
      <c r="M21" s="53"/>
      <c r="N21" s="53"/>
      <c r="O21" s="53"/>
      <c r="P21" s="53"/>
    </row>
    <row r="22" spans="2:17" outlineLevel="1">
      <c r="K22" s="54"/>
      <c r="L22" s="54"/>
      <c r="M22" s="54"/>
      <c r="N22" s="54"/>
      <c r="O22" s="54"/>
      <c r="P22" s="54"/>
    </row>
    <row r="23" spans="2:17" outlineLevel="1">
      <c r="B23" s="55"/>
      <c r="C23" s="56"/>
      <c r="D23" s="57" t="s">
        <v>38</v>
      </c>
      <c r="E23" s="31"/>
      <c r="F23" s="31"/>
      <c r="G23" s="31"/>
      <c r="H23" s="31"/>
      <c r="I23" s="55"/>
      <c r="K23" s="58"/>
      <c r="L23" s="59" t="s">
        <v>38</v>
      </c>
      <c r="M23" s="60"/>
      <c r="N23" s="60"/>
      <c r="O23" s="60"/>
      <c r="P23" s="60"/>
    </row>
    <row r="24" spans="2:17" outlineLevel="1">
      <c r="C24" s="174">
        <f>Model!$G$277</f>
        <v>270962.41521475755</v>
      </c>
      <c r="D24" s="175">
        <f>E24-$P$13</f>
        <v>4.9999999999999984E-3</v>
      </c>
      <c r="E24" s="175">
        <f>F24-$P$13</f>
        <v>9.9999999999999985E-3</v>
      </c>
      <c r="F24" s="175">
        <f>Input!$F$209</f>
        <v>1.4999999999999999E-2</v>
      </c>
      <c r="G24" s="175">
        <f>F24+$P$13</f>
        <v>0.02</v>
      </c>
      <c r="H24" s="175">
        <f>G24+$P$13</f>
        <v>2.5000000000000001E-2</v>
      </c>
      <c r="I24" s="54"/>
      <c r="K24" s="176"/>
      <c r="L24" s="175">
        <f>D24</f>
        <v>4.9999999999999984E-3</v>
      </c>
      <c r="M24" s="175">
        <f>E24</f>
        <v>9.9999999999999985E-3</v>
      </c>
      <c r="N24" s="175">
        <f>F24</f>
        <v>1.4999999999999999E-2</v>
      </c>
      <c r="O24" s="175">
        <f>G24</f>
        <v>0.02</v>
      </c>
      <c r="P24" s="175">
        <f>H24</f>
        <v>2.5000000000000001E-2</v>
      </c>
    </row>
    <row r="25" spans="2:17" ht="14.4" customHeight="1" outlineLevel="1">
      <c r="B25" s="615" t="s">
        <v>39</v>
      </c>
      <c r="C25" s="175">
        <f>C26-$P$14</f>
        <v>4.0865748886442607E-2</v>
      </c>
      <c r="D25" s="177">
        <f t="dataTable" ref="D25:H29" dt2D="1" dtr="1" r1="O13" r2="O14" ca="1"/>
        <v>280829.0062178527</v>
      </c>
      <c r="E25" s="178">
        <v>319714.31611612212</v>
      </c>
      <c r="F25" s="178">
        <v>373633.14005219727</v>
      </c>
      <c r="G25" s="178">
        <v>453392.79252959008</v>
      </c>
      <c r="H25" s="179">
        <v>583424.0414177567</v>
      </c>
      <c r="I25" s="54"/>
      <c r="J25" s="615" t="s">
        <v>39</v>
      </c>
      <c r="K25" s="175">
        <f>C25</f>
        <v>4.0865748886442607E-2</v>
      </c>
      <c r="L25" s="180">
        <f t="shared" ref="L25:P29" si="0">D38/$O$16</f>
        <v>101.2213471114857</v>
      </c>
      <c r="M25" s="181">
        <f t="shared" si="0"/>
        <v>116.33417645399228</v>
      </c>
      <c r="N25" s="181">
        <f t="shared" si="0"/>
        <v>137.28980176921775</v>
      </c>
      <c r="O25" s="181">
        <f t="shared" si="0"/>
        <v>168.28850074993784</v>
      </c>
      <c r="P25" s="182">
        <f t="shared" si="0"/>
        <v>218.82532503605</v>
      </c>
    </row>
    <row r="26" spans="2:17" outlineLevel="1">
      <c r="B26" s="614"/>
      <c r="C26" s="175">
        <f>C27-$P$14</f>
        <v>4.5865748886442605E-2</v>
      </c>
      <c r="D26" s="183">
        <v>247025.87575058889</v>
      </c>
      <c r="E26" s="184">
        <v>275837.80422142323</v>
      </c>
      <c r="F26" s="184">
        <v>313984.32832343271</v>
      </c>
      <c r="G26" s="184">
        <v>366878.74326343148</v>
      </c>
      <c r="H26" s="185">
        <v>445123.03432235855</v>
      </c>
      <c r="I26" s="54"/>
      <c r="J26" s="614"/>
      <c r="K26" s="175">
        <f>C26</f>
        <v>4.5865748886442605E-2</v>
      </c>
      <c r="L26" s="186">
        <f t="shared" si="0"/>
        <v>88.083713816785433</v>
      </c>
      <c r="M26" s="187">
        <f t="shared" si="0"/>
        <v>99.281509569150117</v>
      </c>
      <c r="N26" s="187">
        <f t="shared" si="0"/>
        <v>114.10720879262834</v>
      </c>
      <c r="O26" s="187">
        <f t="shared" si="0"/>
        <v>134.66469613813894</v>
      </c>
      <c r="P26" s="188">
        <f t="shared" si="0"/>
        <v>165.07444781280938</v>
      </c>
    </row>
    <row r="27" spans="2:17" outlineLevel="1">
      <c r="B27" s="614"/>
      <c r="C27" s="175">
        <f>Input!$F$211</f>
        <v>5.0865748886442602E-2</v>
      </c>
      <c r="D27" s="183">
        <v>220591.19923770818</v>
      </c>
      <c r="E27" s="184">
        <v>242695.30148183665</v>
      </c>
      <c r="F27" s="189">
        <v>270962.41521475755</v>
      </c>
      <c r="G27" s="184">
        <v>308387.61347590981</v>
      </c>
      <c r="H27" s="185">
        <v>360281.82959749934</v>
      </c>
      <c r="I27" s="54"/>
      <c r="J27" s="614"/>
      <c r="K27" s="175">
        <f>C27</f>
        <v>5.0865748886442602E-2</v>
      </c>
      <c r="L27" s="186">
        <f t="shared" si="0"/>
        <v>77.80984031780342</v>
      </c>
      <c r="M27" s="187">
        <f t="shared" si="0"/>
        <v>86.40063015228786</v>
      </c>
      <c r="N27" s="190">
        <f t="shared" si="0"/>
        <v>97.386682905074835</v>
      </c>
      <c r="O27" s="187">
        <f t="shared" si="0"/>
        <v>111.9320378452817</v>
      </c>
      <c r="P27" s="188">
        <f t="shared" si="0"/>
        <v>132.10079654003084</v>
      </c>
    </row>
    <row r="28" spans="2:17" outlineLevel="1">
      <c r="B28" s="614"/>
      <c r="C28" s="175">
        <f>C27+$P$14</f>
        <v>5.58657488864426E-2</v>
      </c>
      <c r="D28" s="183">
        <v>199352.09017434233</v>
      </c>
      <c r="E28" s="184">
        <v>216776.39228732837</v>
      </c>
      <c r="F28" s="184">
        <v>238464.48561613291</v>
      </c>
      <c r="G28" s="184">
        <v>266199.59984988859</v>
      </c>
      <c r="H28" s="185">
        <v>302920.43943759415</v>
      </c>
      <c r="I28" s="54"/>
      <c r="J28" s="614"/>
      <c r="K28" s="175">
        <f>C28</f>
        <v>5.58657488864426E-2</v>
      </c>
      <c r="L28" s="186">
        <f t="shared" si="0"/>
        <v>69.555231276464184</v>
      </c>
      <c r="M28" s="187">
        <f t="shared" si="0"/>
        <v>76.327210333201862</v>
      </c>
      <c r="N28" s="187">
        <f t="shared" si="0"/>
        <v>84.756317728772999</v>
      </c>
      <c r="O28" s="187">
        <f t="shared" si="0"/>
        <v>95.535608142203117</v>
      </c>
      <c r="P28" s="188">
        <f t="shared" si="0"/>
        <v>109.80721311216251</v>
      </c>
    </row>
    <row r="29" spans="2:17" outlineLevel="1">
      <c r="B29" s="614"/>
      <c r="C29" s="175">
        <f>C28+$P$14</f>
        <v>6.0865748886442597E-2</v>
      </c>
      <c r="D29" s="191">
        <v>181913.55709836457</v>
      </c>
      <c r="E29" s="192">
        <v>195950.92659519095</v>
      </c>
      <c r="F29" s="192">
        <v>213048.83033328335</v>
      </c>
      <c r="G29" s="192">
        <v>234330.65439683071</v>
      </c>
      <c r="H29" s="193">
        <v>261546.22436679405</v>
      </c>
      <c r="I29" s="54"/>
      <c r="J29" s="614"/>
      <c r="K29" s="175">
        <f>C29</f>
        <v>6.0865748886442597E-2</v>
      </c>
      <c r="L29" s="194">
        <f t="shared" si="0"/>
        <v>62.777721336325143</v>
      </c>
      <c r="M29" s="195">
        <f t="shared" si="0"/>
        <v>68.233364358799435</v>
      </c>
      <c r="N29" s="195">
        <f t="shared" si="0"/>
        <v>74.878488236798816</v>
      </c>
      <c r="O29" s="195">
        <f t="shared" si="0"/>
        <v>83.149698521893015</v>
      </c>
      <c r="P29" s="196">
        <f t="shared" si="0"/>
        <v>93.727067340378568</v>
      </c>
    </row>
    <row r="30" spans="2:17" outlineLevel="1">
      <c r="C30" s="54"/>
      <c r="D30" s="54"/>
      <c r="E30" s="54"/>
      <c r="F30" s="54"/>
      <c r="G30" s="54"/>
      <c r="H30" s="54"/>
      <c r="I30" s="54"/>
    </row>
    <row r="31" spans="2:17" outlineLevel="1">
      <c r="C31" s="54"/>
      <c r="D31" s="54"/>
      <c r="E31" s="54"/>
      <c r="F31" s="54"/>
      <c r="G31" s="54"/>
      <c r="H31" s="54"/>
      <c r="I31" s="54"/>
      <c r="J31" s="54"/>
      <c r="K31" s="54"/>
      <c r="L31" s="61"/>
      <c r="M31" s="60"/>
      <c r="N31" s="60"/>
      <c r="O31" s="60"/>
      <c r="P31" s="60"/>
    </row>
    <row r="32" spans="2:17" outlineLevel="1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</row>
    <row r="33" spans="1:17" outlineLevel="1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</row>
    <row r="34" spans="1:17" outlineLevel="1">
      <c r="D34" s="51" t="s">
        <v>48</v>
      </c>
      <c r="E34" s="33"/>
      <c r="F34" s="33"/>
      <c r="G34" s="33"/>
      <c r="H34" s="33"/>
      <c r="I34" s="54"/>
      <c r="J34" s="54"/>
      <c r="K34" s="54"/>
      <c r="L34" s="52" t="s">
        <v>49</v>
      </c>
      <c r="M34" s="53"/>
      <c r="N34" s="53"/>
      <c r="O34" s="53"/>
      <c r="P34" s="53"/>
    </row>
    <row r="35" spans="1:17" outlineLevel="1">
      <c r="I35" s="54"/>
      <c r="J35" s="54"/>
      <c r="K35" s="54"/>
      <c r="L35" s="54"/>
      <c r="M35" s="54"/>
      <c r="N35" s="54"/>
      <c r="O35" s="54"/>
      <c r="P35" s="54"/>
    </row>
    <row r="36" spans="1:17" outlineLevel="1">
      <c r="B36" s="55"/>
      <c r="C36" s="55"/>
      <c r="D36" s="57" t="s">
        <v>38</v>
      </c>
      <c r="E36" s="31"/>
      <c r="F36" s="31"/>
      <c r="G36" s="31"/>
      <c r="H36" s="31"/>
      <c r="I36" s="58"/>
      <c r="J36" s="58"/>
      <c r="K36" s="58"/>
      <c r="L36" s="59" t="s">
        <v>38</v>
      </c>
      <c r="M36" s="60"/>
      <c r="N36" s="60"/>
      <c r="O36" s="60"/>
      <c r="P36" s="60"/>
    </row>
    <row r="37" spans="1:17" outlineLevel="1">
      <c r="B37" s="54"/>
      <c r="C37" s="197"/>
      <c r="D37" s="198">
        <f>D24</f>
        <v>4.9999999999999984E-3</v>
      </c>
      <c r="E37" s="198">
        <f>E24</f>
        <v>9.9999999999999985E-3</v>
      </c>
      <c r="F37" s="198">
        <f>F24</f>
        <v>1.4999999999999999E-2</v>
      </c>
      <c r="G37" s="198">
        <f>G24</f>
        <v>0.02</v>
      </c>
      <c r="H37" s="198">
        <f>H24</f>
        <v>2.5000000000000001E-2</v>
      </c>
      <c r="I37" s="54"/>
      <c r="J37" s="54"/>
      <c r="K37" s="197"/>
      <c r="L37" s="175">
        <f>D37</f>
        <v>4.9999999999999984E-3</v>
      </c>
      <c r="M37" s="175">
        <f>E37</f>
        <v>9.9999999999999985E-3</v>
      </c>
      <c r="N37" s="175">
        <f>F37</f>
        <v>1.4999999999999999E-2</v>
      </c>
      <c r="O37" s="175">
        <f>G37</f>
        <v>0.02</v>
      </c>
      <c r="P37" s="175">
        <f>H37</f>
        <v>2.5000000000000001E-2</v>
      </c>
    </row>
    <row r="38" spans="1:17" ht="14.4" customHeight="1" outlineLevel="1">
      <c r="B38" s="613" t="s">
        <v>39</v>
      </c>
      <c r="C38" s="175">
        <f>C25</f>
        <v>4.0865748886442607E-2</v>
      </c>
      <c r="D38" s="177">
        <f>D25-$O$15</f>
        <v>260442.52611785271</v>
      </c>
      <c r="E38" s="178">
        <f t="shared" ref="D38:H42" si="1">E25-$O$15</f>
        <v>299327.83601612214</v>
      </c>
      <c r="F38" s="178">
        <f t="shared" si="1"/>
        <v>353246.65995219728</v>
      </c>
      <c r="G38" s="178">
        <f t="shared" si="1"/>
        <v>433006.31242959009</v>
      </c>
      <c r="H38" s="179">
        <f t="shared" si="1"/>
        <v>563037.56131775666</v>
      </c>
      <c r="I38" s="54"/>
      <c r="J38" s="613" t="s">
        <v>39</v>
      </c>
      <c r="K38" s="175">
        <f>C38</f>
        <v>4.0865748886442607E-2</v>
      </c>
      <c r="L38" s="199">
        <f t="shared" ref="L38:P42" si="2">L25/$O$17-1</f>
        <v>0.35630908631228331</v>
      </c>
      <c r="M38" s="200">
        <f t="shared" si="2"/>
        <v>0.55881249435873359</v>
      </c>
      <c r="N38" s="200">
        <f t="shared" si="2"/>
        <v>0.83960608025214722</v>
      </c>
      <c r="O38" s="200">
        <f t="shared" si="2"/>
        <v>1.2549712012587144</v>
      </c>
      <c r="P38" s="201">
        <f t="shared" si="2"/>
        <v>1.9321362057624283</v>
      </c>
    </row>
    <row r="39" spans="1:17" outlineLevel="1">
      <c r="B39" s="614"/>
      <c r="C39" s="175">
        <f>C26</f>
        <v>4.5865748886442605E-2</v>
      </c>
      <c r="D39" s="183">
        <f t="shared" si="1"/>
        <v>226639.39565058891</v>
      </c>
      <c r="E39" s="184">
        <f t="shared" si="1"/>
        <v>255451.32412142324</v>
      </c>
      <c r="F39" s="184">
        <f t="shared" si="1"/>
        <v>293597.84822343272</v>
      </c>
      <c r="G39" s="184">
        <f t="shared" si="1"/>
        <v>346492.26316343149</v>
      </c>
      <c r="H39" s="185">
        <f t="shared" si="1"/>
        <v>424736.55422235857</v>
      </c>
      <c r="I39" s="54"/>
      <c r="J39" s="614"/>
      <c r="K39" s="175">
        <f>C39</f>
        <v>4.5865748886442605E-2</v>
      </c>
      <c r="L39" s="202">
        <f t="shared" si="2"/>
        <v>0.18027219371278891</v>
      </c>
      <c r="M39" s="173">
        <f t="shared" si="2"/>
        <v>0.33031635493970413</v>
      </c>
      <c r="N39" s="173">
        <f t="shared" si="2"/>
        <v>0.52897238098121857</v>
      </c>
      <c r="O39" s="173">
        <f t="shared" si="2"/>
        <v>0.80443114214309186</v>
      </c>
      <c r="P39" s="203">
        <f t="shared" si="2"/>
        <v>1.2119047006942165</v>
      </c>
    </row>
    <row r="40" spans="1:17" outlineLevel="1">
      <c r="B40" s="614"/>
      <c r="C40" s="175">
        <f>C27</f>
        <v>5.0865748886442602E-2</v>
      </c>
      <c r="D40" s="183">
        <f t="shared" si="1"/>
        <v>200204.71913770819</v>
      </c>
      <c r="E40" s="184">
        <f t="shared" si="1"/>
        <v>222308.82138183666</v>
      </c>
      <c r="F40" s="189">
        <f t="shared" si="1"/>
        <v>250575.93511475757</v>
      </c>
      <c r="G40" s="184">
        <f t="shared" si="1"/>
        <v>288001.13337590982</v>
      </c>
      <c r="H40" s="185">
        <f t="shared" si="1"/>
        <v>339895.34949749935</v>
      </c>
      <c r="I40" s="54"/>
      <c r="J40" s="614"/>
      <c r="K40" s="175">
        <f>C40</f>
        <v>5.0865748886442602E-2</v>
      </c>
      <c r="L40" s="202">
        <f t="shared" si="2"/>
        <v>4.2608070719595714E-2</v>
      </c>
      <c r="M40" s="173">
        <f t="shared" si="2"/>
        <v>0.15771981980822547</v>
      </c>
      <c r="N40" s="204">
        <f t="shared" si="2"/>
        <v>0.30492674400475472</v>
      </c>
      <c r="O40" s="173">
        <f t="shared" si="2"/>
        <v>0.49982631442156911</v>
      </c>
      <c r="P40" s="203">
        <f t="shared" si="2"/>
        <v>0.77007633043053536</v>
      </c>
    </row>
    <row r="41" spans="1:17" outlineLevel="1">
      <c r="B41" s="614"/>
      <c r="C41" s="175">
        <f>C28</f>
        <v>5.58657488864426E-2</v>
      </c>
      <c r="D41" s="183">
        <f t="shared" si="1"/>
        <v>178965.61007434234</v>
      </c>
      <c r="E41" s="184">
        <f t="shared" si="1"/>
        <v>196389.91218732839</v>
      </c>
      <c r="F41" s="184">
        <f t="shared" si="1"/>
        <v>218078.00551613292</v>
      </c>
      <c r="G41" s="184">
        <f t="shared" si="1"/>
        <v>245813.1197498886</v>
      </c>
      <c r="H41" s="185">
        <f t="shared" si="1"/>
        <v>282533.95933759416</v>
      </c>
      <c r="I41" s="54"/>
      <c r="J41" s="614"/>
      <c r="K41" s="175">
        <f>C41</f>
        <v>5.58657488864426E-2</v>
      </c>
      <c r="L41" s="202">
        <f t="shared" si="2"/>
        <v>-6.7999044935492581E-2</v>
      </c>
      <c r="M41" s="173">
        <f t="shared" si="2"/>
        <v>2.2741663315045679E-2</v>
      </c>
      <c r="N41" s="173">
        <f t="shared" si="2"/>
        <v>0.13568695871329228</v>
      </c>
      <c r="O41" s="173">
        <f t="shared" si="2"/>
        <v>0.28012338392339697</v>
      </c>
      <c r="P41" s="203">
        <f t="shared" si="2"/>
        <v>0.47135485879890826</v>
      </c>
    </row>
    <row r="42" spans="1:17" outlineLevel="1">
      <c r="B42" s="614"/>
      <c r="C42" s="175">
        <f>C29</f>
        <v>6.0865748886442597E-2</v>
      </c>
      <c r="D42" s="191">
        <f t="shared" si="1"/>
        <v>161527.07699836459</v>
      </c>
      <c r="E42" s="192">
        <f t="shared" si="1"/>
        <v>175564.44649519096</v>
      </c>
      <c r="F42" s="192">
        <f t="shared" si="1"/>
        <v>192662.35023328336</v>
      </c>
      <c r="G42" s="192">
        <f t="shared" si="1"/>
        <v>213944.17429683072</v>
      </c>
      <c r="H42" s="193">
        <f t="shared" si="1"/>
        <v>241159.74426679406</v>
      </c>
      <c r="I42" s="54"/>
      <c r="J42" s="614"/>
      <c r="K42" s="175">
        <f>C42</f>
        <v>6.0865748886442597E-2</v>
      </c>
      <c r="L42" s="205">
        <f t="shared" si="2"/>
        <v>-0.15881386391095875</v>
      </c>
      <c r="M42" s="206">
        <f t="shared" si="2"/>
        <v>-8.5711317716743451E-2</v>
      </c>
      <c r="N42" s="206">
        <f t="shared" si="2"/>
        <v>3.3296025297979703E-3</v>
      </c>
      <c r="O42" s="206">
        <f t="shared" si="2"/>
        <v>0.11415916550841509</v>
      </c>
      <c r="P42" s="207">
        <f t="shared" si="2"/>
        <v>0.25588995498296363</v>
      </c>
    </row>
    <row r="43" spans="1:17" outlineLevel="1">
      <c r="B43" s="145"/>
      <c r="C43" s="175"/>
      <c r="D43" s="184"/>
      <c r="E43" s="184"/>
      <c r="F43" s="184"/>
      <c r="G43" s="184"/>
      <c r="H43" s="184"/>
      <c r="I43" s="54"/>
      <c r="J43" s="145"/>
      <c r="K43" s="175"/>
      <c r="L43" s="208"/>
      <c r="M43" s="208"/>
      <c r="N43" s="208"/>
      <c r="O43" s="208"/>
      <c r="P43" s="208"/>
    </row>
    <row r="44" spans="1:17" outlineLevel="1">
      <c r="B44" s="145"/>
      <c r="C44" s="175"/>
      <c r="D44" s="184"/>
      <c r="E44" s="184"/>
      <c r="F44" s="184"/>
      <c r="G44" s="184"/>
      <c r="H44" s="184"/>
      <c r="I44" s="54"/>
      <c r="J44" s="145"/>
      <c r="K44" s="175"/>
      <c r="L44" s="208"/>
      <c r="M44" s="208"/>
      <c r="N44" s="208"/>
      <c r="O44" s="208"/>
      <c r="P44" s="209" t="s">
        <v>50</v>
      </c>
    </row>
    <row r="45" spans="1:17" outlineLevel="1"/>
    <row r="46" spans="1:17" outlineLevel="1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8" spans="1:17">
      <c r="A48" s="122" t="s">
        <v>26</v>
      </c>
      <c r="B48" s="21" t="s">
        <v>51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2:17" outlineLevel="1">
      <c r="B49" s="151"/>
      <c r="C49" s="23"/>
      <c r="D49" s="23"/>
      <c r="E49" s="24"/>
      <c r="F49" s="24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spans="2:17" outlineLevel="1">
      <c r="B50" s="152" t="str">
        <f>Input!$B$8</f>
        <v>All figures in CHF millions unless stated</v>
      </c>
      <c r="F50" s="26"/>
      <c r="G50" s="27"/>
      <c r="H50" s="26"/>
      <c r="I50" s="26"/>
      <c r="J50" s="28"/>
      <c r="K50" s="28"/>
      <c r="L50" s="29"/>
      <c r="M50" s="29"/>
      <c r="N50" s="29"/>
      <c r="O50" s="29"/>
    </row>
    <row r="51" spans="2:17" outlineLevel="1">
      <c r="B51" s="30" t="str">
        <f>CONCATENATE("Model Running: ",INDEX(Input!$B$12:$B$14,Input!$D$6)," Drivers")</f>
        <v>Model Running: Base Case Drivers</v>
      </c>
      <c r="D51" s="29"/>
      <c r="F51" s="210"/>
      <c r="L51" s="152"/>
      <c r="M51" s="31"/>
      <c r="N51" s="31"/>
      <c r="O51" s="31"/>
    </row>
    <row r="52" spans="2:17" outlineLevel="1"/>
    <row r="53" spans="2:17" outlineLevel="1"/>
    <row r="54" spans="2:17" outlineLevel="1">
      <c r="D54" s="32" t="s">
        <v>29</v>
      </c>
      <c r="E54" s="33"/>
      <c r="F54" s="33"/>
      <c r="G54" s="33"/>
      <c r="H54" s="33"/>
      <c r="L54" s="32" t="s">
        <v>30</v>
      </c>
      <c r="M54" s="33"/>
      <c r="N54" s="33"/>
      <c r="O54" s="33"/>
      <c r="P54" s="33"/>
    </row>
    <row r="55" spans="2:17" ht="20.399999999999999" customHeight="1" outlineLevel="1">
      <c r="B55" s="34"/>
      <c r="C55" s="34"/>
      <c r="D55" s="34"/>
      <c r="E55" s="34"/>
      <c r="F55" s="34"/>
      <c r="G55" s="34"/>
      <c r="H55" s="34"/>
      <c r="I55" s="26"/>
      <c r="J55" s="35"/>
      <c r="K55" s="35"/>
      <c r="P55" s="34"/>
      <c r="Q55" s="34"/>
    </row>
    <row r="56" spans="2:17" outlineLevel="1">
      <c r="D56" s="34"/>
      <c r="E56" s="37" t="s">
        <v>31</v>
      </c>
      <c r="F56" s="37" t="s">
        <v>32</v>
      </c>
      <c r="G56" s="37" t="s">
        <v>32</v>
      </c>
      <c r="H56" s="37" t="s">
        <v>33</v>
      </c>
      <c r="I56" s="154"/>
      <c r="J56" s="154"/>
      <c r="K56" s="154"/>
      <c r="P56" s="131" t="s">
        <v>34</v>
      </c>
    </row>
    <row r="57" spans="2:17" outlineLevel="1">
      <c r="D57" s="34"/>
      <c r="E57" s="37" t="s">
        <v>35</v>
      </c>
      <c r="F57" s="37" t="s">
        <v>35</v>
      </c>
      <c r="G57" s="37" t="s">
        <v>36</v>
      </c>
      <c r="H57" s="37" t="s">
        <v>37</v>
      </c>
      <c r="I57" s="154"/>
      <c r="J57" s="154"/>
      <c r="K57" s="154"/>
      <c r="L57" s="29" t="s">
        <v>52</v>
      </c>
      <c r="M57" s="29"/>
      <c r="N57" s="38"/>
      <c r="O57" s="211">
        <f>Input!$F$210</f>
        <v>13.5</v>
      </c>
      <c r="P57" s="212">
        <v>0.5</v>
      </c>
    </row>
    <row r="58" spans="2:17" outlineLevel="1">
      <c r="E58" s="157">
        <f>Model!$G$325</f>
        <v>232364.57595992961</v>
      </c>
      <c r="F58" s="39"/>
      <c r="G58" s="39"/>
      <c r="I58" s="154"/>
      <c r="J58" s="154"/>
      <c r="K58" s="154"/>
      <c r="L58" s="29" t="s">
        <v>39</v>
      </c>
      <c r="N58" s="38"/>
      <c r="O58" s="155">
        <f>Input!$N$257</f>
        <v>5.0865748886442602E-2</v>
      </c>
      <c r="P58" s="158">
        <v>5.0000000000000001E-3</v>
      </c>
    </row>
    <row r="59" spans="2:17" ht="20.399999999999999" customHeight="1" outlineLevel="1">
      <c r="B59" s="151"/>
      <c r="D59" s="114">
        <v>1</v>
      </c>
      <c r="E59" s="159">
        <f t="dataTable" ref="E59:E61" dt2D="0" dtr="0" r1="D8" ca="1"/>
        <v>303567.82484957983</v>
      </c>
      <c r="F59" s="160">
        <f>E59-$O$59</f>
        <v>283181.34474957985</v>
      </c>
      <c r="G59" s="161">
        <f>F59/$O$60</f>
        <v>110.05882034573644</v>
      </c>
      <c r="H59" s="162">
        <f>G59/$O$61-1</f>
        <v>0.47472625413019487</v>
      </c>
      <c r="I59" s="40"/>
      <c r="J59" s="41"/>
      <c r="K59" s="41"/>
      <c r="L59" s="311" t="s">
        <v>40</v>
      </c>
      <c r="M59" s="312"/>
      <c r="N59" s="313" t="s">
        <v>41</v>
      </c>
      <c r="O59" s="314">
        <f>Input!$N$196+Input!$N$197+Input!$N$199-Input!$N$198</f>
        <v>20386.480100000001</v>
      </c>
      <c r="P59" s="43"/>
    </row>
    <row r="60" spans="2:17" ht="20.399999999999999" customHeight="1" outlineLevel="1">
      <c r="B60" s="151"/>
      <c r="D60" s="115">
        <v>2</v>
      </c>
      <c r="E60" s="163">
        <v>232364.57595992961</v>
      </c>
      <c r="F60" s="164">
        <f>E60-$O$59</f>
        <v>211978.09585992963</v>
      </c>
      <c r="G60" s="165">
        <f>F60/$O$60</f>
        <v>82.385579424768608</v>
      </c>
      <c r="H60" s="166">
        <f>G60/$O$61-1</f>
        <v>0.10392039963511479</v>
      </c>
      <c r="I60" s="40"/>
      <c r="J60" s="41"/>
      <c r="K60" s="41"/>
      <c r="L60" s="29" t="s">
        <v>42</v>
      </c>
      <c r="M60" s="29"/>
      <c r="N60" s="42" t="s">
        <v>43</v>
      </c>
      <c r="O60" s="167">
        <f>Input!$F$207</f>
        <v>2573</v>
      </c>
      <c r="P60" s="43"/>
      <c r="Q60" s="44"/>
    </row>
    <row r="61" spans="2:17" outlineLevel="1">
      <c r="B61" s="45"/>
      <c r="C61" s="34"/>
      <c r="D61" s="116">
        <v>3</v>
      </c>
      <c r="E61" s="168">
        <v>168418.31465905544</v>
      </c>
      <c r="F61" s="169">
        <f>E61-$O$59</f>
        <v>148031.83455905545</v>
      </c>
      <c r="G61" s="170">
        <f>F61/$O$60</f>
        <v>57.532776742734342</v>
      </c>
      <c r="H61" s="171">
        <f>G61/$O$61-1</f>
        <v>-0.22909316973423088</v>
      </c>
      <c r="I61" s="46"/>
      <c r="J61" s="46"/>
      <c r="K61" s="34"/>
      <c r="L61" s="47" t="s">
        <v>44</v>
      </c>
      <c r="M61" s="48"/>
      <c r="N61" s="49" t="s">
        <v>45</v>
      </c>
      <c r="O61" s="172">
        <f>Input!$F$208</f>
        <v>74.63</v>
      </c>
      <c r="P61" s="43"/>
      <c r="Q61" s="34"/>
    </row>
    <row r="62" spans="2:17" outlineLevel="1">
      <c r="B62" s="50"/>
      <c r="C62" s="34"/>
      <c r="D62" s="34"/>
      <c r="I62" s="46"/>
      <c r="J62" s="46"/>
      <c r="K62" s="34"/>
      <c r="L62" s="29"/>
      <c r="O62" s="38"/>
      <c r="P62" s="173"/>
      <c r="Q62" s="44"/>
    </row>
    <row r="63" spans="2:17" outlineLevel="1"/>
    <row r="64" spans="2:17" outlineLevel="1"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</row>
    <row r="65" spans="2:16" outlineLevel="1">
      <c r="D65" s="51" t="s">
        <v>46</v>
      </c>
      <c r="E65" s="33"/>
      <c r="F65" s="33"/>
      <c r="G65" s="33"/>
      <c r="H65" s="33"/>
      <c r="K65" s="54"/>
      <c r="L65" s="52" t="s">
        <v>47</v>
      </c>
      <c r="M65" s="53"/>
      <c r="N65" s="53"/>
      <c r="O65" s="53"/>
      <c r="P65" s="53"/>
    </row>
    <row r="66" spans="2:16" outlineLevel="1">
      <c r="K66" s="54"/>
      <c r="L66" s="54"/>
      <c r="M66" s="54"/>
      <c r="N66" s="54"/>
      <c r="O66" s="54"/>
      <c r="P66" s="54"/>
    </row>
    <row r="67" spans="2:16" outlineLevel="1">
      <c r="B67" s="55"/>
      <c r="C67" s="56"/>
      <c r="D67" s="57" t="s">
        <v>52</v>
      </c>
      <c r="E67" s="31"/>
      <c r="F67" s="31"/>
      <c r="G67" s="31"/>
      <c r="H67" s="31"/>
      <c r="I67" s="55"/>
      <c r="K67" s="58"/>
      <c r="L67" s="57" t="s">
        <v>52</v>
      </c>
      <c r="M67" s="60"/>
      <c r="N67" s="60"/>
      <c r="O67" s="60"/>
      <c r="P67" s="60"/>
    </row>
    <row r="68" spans="2:16" outlineLevel="1">
      <c r="C68" s="174">
        <f>Model!$G$325</f>
        <v>232364.57595992961</v>
      </c>
      <c r="D68" s="213">
        <f>E68-$P$57</f>
        <v>12.5</v>
      </c>
      <c r="E68" s="213">
        <f>F68-$P$57</f>
        <v>13</v>
      </c>
      <c r="F68" s="213">
        <f>Input!$F$210</f>
        <v>13.5</v>
      </c>
      <c r="G68" s="213">
        <f>F68+$P$57</f>
        <v>14</v>
      </c>
      <c r="H68" s="213">
        <f>G68+$P$57</f>
        <v>14.5</v>
      </c>
      <c r="I68" s="54"/>
      <c r="K68" s="176"/>
      <c r="L68" s="213">
        <f>D68</f>
        <v>12.5</v>
      </c>
      <c r="M68" s="213">
        <f>E68</f>
        <v>13</v>
      </c>
      <c r="N68" s="213">
        <f>F68</f>
        <v>13.5</v>
      </c>
      <c r="O68" s="213">
        <f>G68</f>
        <v>14</v>
      </c>
      <c r="P68" s="213">
        <f>H68</f>
        <v>14.5</v>
      </c>
    </row>
    <row r="69" spans="2:16" ht="14.4" customHeight="1" outlineLevel="1">
      <c r="B69" s="615" t="s">
        <v>39</v>
      </c>
      <c r="C69" s="175">
        <f>C70-$P$58</f>
        <v>4.0865748886442607E-2</v>
      </c>
      <c r="D69" s="177">
        <f t="dataTable" ref="D69:H73" dt2D="1" dtr="1" r1="O57" r2="O58" ca="1"/>
        <v>229165.17400954376</v>
      </c>
      <c r="E69" s="178">
        <v>236369.55951834566</v>
      </c>
      <c r="F69" s="178">
        <v>243573.94502714759</v>
      </c>
      <c r="G69" s="178">
        <v>250778.3305359495</v>
      </c>
      <c r="H69" s="179">
        <v>257982.71604475143</v>
      </c>
      <c r="I69" s="54"/>
      <c r="J69" s="615" t="s">
        <v>39</v>
      </c>
      <c r="K69" s="175">
        <f>C69</f>
        <v>4.0865748886442607E-2</v>
      </c>
      <c r="L69" s="180">
        <f t="shared" ref="L69:P73" si="3">D82/$O$60</f>
        <v>81.142127442496601</v>
      </c>
      <c r="M69" s="181">
        <f t="shared" si="3"/>
        <v>83.942121810472457</v>
      </c>
      <c r="N69" s="181">
        <f t="shared" si="3"/>
        <v>86.742116178448356</v>
      </c>
      <c r="O69" s="181">
        <f t="shared" si="3"/>
        <v>89.542110546424212</v>
      </c>
      <c r="P69" s="182">
        <f t="shared" si="3"/>
        <v>92.342104914400082</v>
      </c>
    </row>
    <row r="70" spans="2:16" outlineLevel="1">
      <c r="B70" s="614"/>
      <c r="C70" s="175">
        <f>C71-$P$58</f>
        <v>4.5865748886442605E-2</v>
      </c>
      <c r="D70" s="183">
        <v>223851.21790131062</v>
      </c>
      <c r="E70" s="184">
        <v>230868.10545093758</v>
      </c>
      <c r="F70" s="184">
        <v>237884.99300056454</v>
      </c>
      <c r="G70" s="184">
        <v>244901.8805501915</v>
      </c>
      <c r="H70" s="185">
        <v>251918.76809981847</v>
      </c>
      <c r="I70" s="54"/>
      <c r="J70" s="614"/>
      <c r="K70" s="175">
        <f>C70</f>
        <v>4.5865748886442605E-2</v>
      </c>
      <c r="L70" s="186">
        <f t="shared" si="3"/>
        <v>79.076851069300659</v>
      </c>
      <c r="M70" s="187">
        <f t="shared" si="3"/>
        <v>81.80397409674994</v>
      </c>
      <c r="N70" s="187">
        <f t="shared" si="3"/>
        <v>84.531097124199192</v>
      </c>
      <c r="O70" s="187">
        <f t="shared" si="3"/>
        <v>87.258220151648473</v>
      </c>
      <c r="P70" s="188">
        <f t="shared" si="3"/>
        <v>89.985343179097725</v>
      </c>
    </row>
    <row r="71" spans="2:16" outlineLevel="1">
      <c r="B71" s="614"/>
      <c r="C71" s="175">
        <f>Input!$F$211</f>
        <v>5.0865748886442602E-2</v>
      </c>
      <c r="D71" s="183">
        <v>218694.31813066022</v>
      </c>
      <c r="E71" s="184">
        <v>225529.44704529492</v>
      </c>
      <c r="F71" s="189">
        <v>232364.57595992961</v>
      </c>
      <c r="G71" s="184">
        <v>239199.70487456431</v>
      </c>
      <c r="H71" s="185">
        <v>246034.83378919901</v>
      </c>
      <c r="I71" s="54"/>
      <c r="J71" s="614"/>
      <c r="K71" s="175">
        <f>C71</f>
        <v>5.0865748886442602E-2</v>
      </c>
      <c r="L71" s="186">
        <f t="shared" si="3"/>
        <v>77.07261485839885</v>
      </c>
      <c r="M71" s="187">
        <f t="shared" si="3"/>
        <v>79.729097141583722</v>
      </c>
      <c r="N71" s="190">
        <f t="shared" si="3"/>
        <v>82.385579424768608</v>
      </c>
      <c r="O71" s="187">
        <f t="shared" si="3"/>
        <v>85.042061707953494</v>
      </c>
      <c r="P71" s="188">
        <f t="shared" si="3"/>
        <v>87.698543991138365</v>
      </c>
    </row>
    <row r="72" spans="2:16" outlineLevel="1">
      <c r="B72" s="614"/>
      <c r="C72" s="175">
        <f>C71+$P$58</f>
        <v>5.58657488864426E-2</v>
      </c>
      <c r="D72" s="183">
        <v>213689.05166782197</v>
      </c>
      <c r="E72" s="184">
        <v>220347.95952544789</v>
      </c>
      <c r="F72" s="184">
        <v>227006.86738307381</v>
      </c>
      <c r="G72" s="184">
        <v>233665.77524069973</v>
      </c>
      <c r="H72" s="185">
        <v>240324.68309832565</v>
      </c>
      <c r="I72" s="54"/>
      <c r="J72" s="614"/>
      <c r="K72" s="175">
        <f>C72</f>
        <v>5.58657488864426E-2</v>
      </c>
      <c r="L72" s="186">
        <f t="shared" si="3"/>
        <v>75.127311141788553</v>
      </c>
      <c r="M72" s="187">
        <f t="shared" si="3"/>
        <v>77.715304868032604</v>
      </c>
      <c r="N72" s="187">
        <f t="shared" si="3"/>
        <v>80.30329859427664</v>
      </c>
      <c r="O72" s="187">
        <f t="shared" si="3"/>
        <v>82.891292320520677</v>
      </c>
      <c r="P72" s="188">
        <f t="shared" si="3"/>
        <v>85.479286046764727</v>
      </c>
    </row>
    <row r="73" spans="2:16" outlineLevel="1">
      <c r="B73" s="614"/>
      <c r="C73" s="175">
        <f>C72+$P$58</f>
        <v>6.0865748886442597E-2</v>
      </c>
      <c r="D73" s="191">
        <v>208830.20816557796</v>
      </c>
      <c r="E73" s="192">
        <v>215318.2387973431</v>
      </c>
      <c r="F73" s="192">
        <v>221806.26942910824</v>
      </c>
      <c r="G73" s="192">
        <v>228294.30006087339</v>
      </c>
      <c r="H73" s="193">
        <v>234782.33069263847</v>
      </c>
      <c r="I73" s="54"/>
      <c r="J73" s="614"/>
      <c r="K73" s="175">
        <f>C73</f>
        <v>6.0865748886442597E-2</v>
      </c>
      <c r="L73" s="194">
        <f t="shared" si="3"/>
        <v>73.238914910834808</v>
      </c>
      <c r="M73" s="195">
        <f t="shared" si="3"/>
        <v>75.760496967486631</v>
      </c>
      <c r="N73" s="195">
        <f t="shared" si="3"/>
        <v>78.282079024138454</v>
      </c>
      <c r="O73" s="195">
        <f t="shared" si="3"/>
        <v>80.803661080790278</v>
      </c>
      <c r="P73" s="196">
        <f t="shared" si="3"/>
        <v>83.325243137442087</v>
      </c>
    </row>
    <row r="74" spans="2:16" outlineLevel="1">
      <c r="C74" s="54"/>
      <c r="D74" s="54"/>
      <c r="E74" s="54"/>
      <c r="F74" s="54"/>
      <c r="G74" s="54"/>
      <c r="H74" s="54"/>
      <c r="I74" s="54"/>
    </row>
    <row r="75" spans="2:16" outlineLevel="1">
      <c r="C75" s="54"/>
      <c r="D75" s="54"/>
      <c r="E75" s="54"/>
      <c r="F75" s="54"/>
      <c r="G75" s="54"/>
      <c r="H75" s="54"/>
      <c r="I75" s="54"/>
      <c r="J75" s="54"/>
      <c r="K75" s="54"/>
      <c r="L75" s="61"/>
      <c r="M75" s="60"/>
      <c r="N75" s="60"/>
      <c r="O75" s="60"/>
      <c r="P75" s="60"/>
    </row>
    <row r="76" spans="2:16" outlineLevel="1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</row>
    <row r="77" spans="2:16" outlineLevel="1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</row>
    <row r="78" spans="2:16" outlineLevel="1">
      <c r="D78" s="51" t="s">
        <v>48</v>
      </c>
      <c r="E78" s="33"/>
      <c r="F78" s="33"/>
      <c r="G78" s="33"/>
      <c r="H78" s="33"/>
      <c r="I78" s="54"/>
      <c r="J78" s="54"/>
      <c r="K78" s="54"/>
      <c r="L78" s="52" t="s">
        <v>49</v>
      </c>
      <c r="M78" s="53"/>
      <c r="N78" s="53"/>
      <c r="O78" s="53"/>
      <c r="P78" s="53"/>
    </row>
    <row r="79" spans="2:16" outlineLevel="1">
      <c r="I79" s="54"/>
      <c r="J79" s="54"/>
      <c r="K79" s="54"/>
      <c r="L79" s="54"/>
      <c r="M79" s="54"/>
      <c r="N79" s="54"/>
      <c r="O79" s="54"/>
      <c r="P79" s="54"/>
    </row>
    <row r="80" spans="2:16" outlineLevel="1">
      <c r="B80" s="55"/>
      <c r="C80" s="55"/>
      <c r="D80" s="57" t="s">
        <v>52</v>
      </c>
      <c r="E80" s="31"/>
      <c r="F80" s="31"/>
      <c r="G80" s="31"/>
      <c r="H80" s="31"/>
      <c r="I80" s="58"/>
      <c r="J80" s="58"/>
      <c r="K80" s="58"/>
      <c r="L80" s="59" t="s">
        <v>52</v>
      </c>
      <c r="M80" s="60"/>
      <c r="N80" s="60"/>
      <c r="O80" s="60"/>
      <c r="P80" s="60"/>
    </row>
    <row r="81" spans="1:16" outlineLevel="1">
      <c r="B81" s="54"/>
      <c r="C81" s="197"/>
      <c r="D81" s="213">
        <f>D68</f>
        <v>12.5</v>
      </c>
      <c r="E81" s="213">
        <f>E68</f>
        <v>13</v>
      </c>
      <c r="F81" s="213">
        <f>F68</f>
        <v>13.5</v>
      </c>
      <c r="G81" s="213">
        <f>G68</f>
        <v>14</v>
      </c>
      <c r="H81" s="213">
        <f>H68</f>
        <v>14.5</v>
      </c>
      <c r="I81" s="54"/>
      <c r="J81" s="54"/>
      <c r="K81" s="197"/>
      <c r="L81" s="213">
        <f>D81</f>
        <v>12.5</v>
      </c>
      <c r="M81" s="213">
        <f>E81</f>
        <v>13</v>
      </c>
      <c r="N81" s="213">
        <f>F81</f>
        <v>13.5</v>
      </c>
      <c r="O81" s="213">
        <f>G81</f>
        <v>14</v>
      </c>
      <c r="P81" s="213">
        <f>H81</f>
        <v>14.5</v>
      </c>
    </row>
    <row r="82" spans="1:16" ht="14.4" customHeight="1" outlineLevel="1">
      <c r="B82" s="613" t="s">
        <v>39</v>
      </c>
      <c r="C82" s="175">
        <f>C69</f>
        <v>4.0865748886442607E-2</v>
      </c>
      <c r="D82" s="177">
        <f t="shared" ref="D82:H86" si="4">D69-$O$59</f>
        <v>208778.69390954374</v>
      </c>
      <c r="E82" s="178">
        <f t="shared" si="4"/>
        <v>215983.07941834565</v>
      </c>
      <c r="F82" s="178">
        <f t="shared" si="4"/>
        <v>223187.46492714761</v>
      </c>
      <c r="G82" s="178">
        <f t="shared" si="4"/>
        <v>230391.85043594951</v>
      </c>
      <c r="H82" s="179">
        <f t="shared" si="4"/>
        <v>237596.23594475142</v>
      </c>
      <c r="I82" s="54"/>
      <c r="J82" s="613" t="s">
        <v>39</v>
      </c>
      <c r="K82" s="175">
        <f>C82</f>
        <v>4.0865748886442607E-2</v>
      </c>
      <c r="L82" s="199">
        <f t="shared" ref="L82:P86" si="5">L69/$O$61-1</f>
        <v>8.7258842858054519E-2</v>
      </c>
      <c r="M82" s="200">
        <f t="shared" si="5"/>
        <v>0.12477719161828293</v>
      </c>
      <c r="N82" s="200">
        <f t="shared" si="5"/>
        <v>0.16229554037851224</v>
      </c>
      <c r="O82" s="200">
        <f t="shared" si="5"/>
        <v>0.19981388913874065</v>
      </c>
      <c r="P82" s="201">
        <f t="shared" si="5"/>
        <v>0.23733223789896951</v>
      </c>
    </row>
    <row r="83" spans="1:16" outlineLevel="1">
      <c r="B83" s="614"/>
      <c r="C83" s="175">
        <f>C70</f>
        <v>4.5865748886442605E-2</v>
      </c>
      <c r="D83" s="183">
        <f t="shared" si="4"/>
        <v>203464.73780131061</v>
      </c>
      <c r="E83" s="184">
        <f t="shared" si="4"/>
        <v>210481.6253509376</v>
      </c>
      <c r="F83" s="184">
        <f t="shared" si="4"/>
        <v>217498.51290056453</v>
      </c>
      <c r="G83" s="184">
        <f t="shared" si="4"/>
        <v>224515.40045019152</v>
      </c>
      <c r="H83" s="185">
        <f t="shared" si="4"/>
        <v>231532.28799981845</v>
      </c>
      <c r="I83" s="54"/>
      <c r="J83" s="614"/>
      <c r="K83" s="175">
        <f>C83</f>
        <v>4.5865748886442605E-2</v>
      </c>
      <c r="L83" s="202">
        <f t="shared" si="5"/>
        <v>5.9585301745955555E-2</v>
      </c>
      <c r="M83" s="173">
        <f t="shared" si="5"/>
        <v>9.6127215553396095E-2</v>
      </c>
      <c r="N83" s="173">
        <f t="shared" si="5"/>
        <v>0.13266912936083619</v>
      </c>
      <c r="O83" s="173">
        <f t="shared" si="5"/>
        <v>0.16921104316827651</v>
      </c>
      <c r="P83" s="203">
        <f t="shared" si="5"/>
        <v>0.20575295697571661</v>
      </c>
    </row>
    <row r="84" spans="1:16" outlineLevel="1">
      <c r="B84" s="614"/>
      <c r="C84" s="175">
        <f>C71</f>
        <v>5.0865748886442602E-2</v>
      </c>
      <c r="D84" s="183">
        <f t="shared" si="4"/>
        <v>198307.83803066023</v>
      </c>
      <c r="E84" s="184">
        <f t="shared" si="4"/>
        <v>205142.96694529493</v>
      </c>
      <c r="F84" s="189">
        <f t="shared" si="4"/>
        <v>211978.09585992963</v>
      </c>
      <c r="G84" s="184">
        <f t="shared" si="4"/>
        <v>218813.22477456433</v>
      </c>
      <c r="H84" s="185">
        <f t="shared" si="4"/>
        <v>225648.35368919902</v>
      </c>
      <c r="I84" s="54"/>
      <c r="J84" s="614"/>
      <c r="K84" s="175">
        <f>C84</f>
        <v>5.0865748886442602E-2</v>
      </c>
      <c r="L84" s="202">
        <f t="shared" si="5"/>
        <v>3.2729664456637497E-2</v>
      </c>
      <c r="M84" s="173">
        <f t="shared" si="5"/>
        <v>6.8325032045875922E-2</v>
      </c>
      <c r="N84" s="204">
        <f t="shared" si="5"/>
        <v>0.10392039963511479</v>
      </c>
      <c r="O84" s="173">
        <f t="shared" si="5"/>
        <v>0.13951576722435344</v>
      </c>
      <c r="P84" s="203">
        <f t="shared" si="5"/>
        <v>0.17511113481359208</v>
      </c>
    </row>
    <row r="85" spans="1:16" outlineLevel="1">
      <c r="B85" s="614"/>
      <c r="C85" s="175">
        <f>C72</f>
        <v>5.58657488864426E-2</v>
      </c>
      <c r="D85" s="183">
        <f t="shared" si="4"/>
        <v>193302.57156782196</v>
      </c>
      <c r="E85" s="184">
        <f t="shared" si="4"/>
        <v>199961.47942544788</v>
      </c>
      <c r="F85" s="184">
        <f t="shared" si="4"/>
        <v>206620.3872830738</v>
      </c>
      <c r="G85" s="184">
        <f t="shared" si="4"/>
        <v>213279.29514069972</v>
      </c>
      <c r="H85" s="185">
        <f t="shared" si="4"/>
        <v>219938.20299832564</v>
      </c>
      <c r="I85" s="54"/>
      <c r="J85" s="614"/>
      <c r="K85" s="175">
        <f>C85</f>
        <v>5.58657488864426E-2</v>
      </c>
      <c r="L85" s="202">
        <f t="shared" si="5"/>
        <v>6.6636894250107215E-3</v>
      </c>
      <c r="M85" s="173">
        <f t="shared" si="5"/>
        <v>4.1341348894983421E-2</v>
      </c>
      <c r="N85" s="173">
        <f t="shared" si="5"/>
        <v>7.6019008364955676E-2</v>
      </c>
      <c r="O85" s="173">
        <f t="shared" si="5"/>
        <v>0.11069666783492815</v>
      </c>
      <c r="P85" s="203">
        <f t="shared" si="5"/>
        <v>0.14537432730490063</v>
      </c>
    </row>
    <row r="86" spans="1:16" outlineLevel="1">
      <c r="B86" s="614"/>
      <c r="C86" s="175">
        <f>C73</f>
        <v>6.0865748886442597E-2</v>
      </c>
      <c r="D86" s="191">
        <f t="shared" si="4"/>
        <v>188443.72806557798</v>
      </c>
      <c r="E86" s="192">
        <f t="shared" si="4"/>
        <v>194931.75869734312</v>
      </c>
      <c r="F86" s="192">
        <f t="shared" si="4"/>
        <v>201419.78932910826</v>
      </c>
      <c r="G86" s="192">
        <f t="shared" si="4"/>
        <v>207907.8199608734</v>
      </c>
      <c r="H86" s="193">
        <f t="shared" si="4"/>
        <v>214395.85059263848</v>
      </c>
      <c r="I86" s="54"/>
      <c r="J86" s="614"/>
      <c r="K86" s="175">
        <f>C86</f>
        <v>6.0865748886442597E-2</v>
      </c>
      <c r="L86" s="205">
        <f t="shared" si="5"/>
        <v>-1.863975732500589E-2</v>
      </c>
      <c r="M86" s="206">
        <f t="shared" si="5"/>
        <v>1.5148023147348644E-2</v>
      </c>
      <c r="N86" s="206">
        <f t="shared" si="5"/>
        <v>4.89358036197034E-2</v>
      </c>
      <c r="O86" s="206">
        <f t="shared" si="5"/>
        <v>8.2723584092057934E-2</v>
      </c>
      <c r="P86" s="207">
        <f t="shared" si="5"/>
        <v>0.11651136456441225</v>
      </c>
    </row>
    <row r="87" spans="1:16" outlineLevel="1">
      <c r="B87" s="145"/>
      <c r="C87" s="175"/>
      <c r="D87" s="184"/>
      <c r="E87" s="184"/>
      <c r="F87" s="184"/>
      <c r="G87" s="184"/>
      <c r="H87" s="184"/>
      <c r="I87" s="54"/>
      <c r="J87" s="145"/>
      <c r="K87" s="175"/>
      <c r="L87" s="208"/>
      <c r="M87" s="208"/>
      <c r="N87" s="208"/>
      <c r="O87" s="208"/>
      <c r="P87" s="208"/>
    </row>
    <row r="88" spans="1:16" outlineLevel="1">
      <c r="B88" s="145"/>
      <c r="C88" s="175"/>
      <c r="D88" s="184"/>
      <c r="E88" s="184"/>
      <c r="F88" s="184"/>
      <c r="G88" s="184"/>
      <c r="H88" s="184"/>
      <c r="I88" s="54"/>
      <c r="J88" s="145"/>
      <c r="K88" s="175"/>
      <c r="L88" s="208"/>
      <c r="M88" s="208"/>
      <c r="N88" s="208"/>
      <c r="O88" s="208"/>
      <c r="P88" s="209" t="s">
        <v>50</v>
      </c>
    </row>
    <row r="89" spans="1:16" outlineLevel="1"/>
    <row r="90" spans="1:16" outlineLevel="1">
      <c r="A90" s="122" t="s">
        <v>26</v>
      </c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</row>
  </sheetData>
  <mergeCells count="8">
    <mergeCell ref="B82:B86"/>
    <mergeCell ref="B25:B29"/>
    <mergeCell ref="J82:J86"/>
    <mergeCell ref="B38:B42"/>
    <mergeCell ref="J25:J29"/>
    <mergeCell ref="J69:J73"/>
    <mergeCell ref="J38:J42"/>
    <mergeCell ref="B69:B73"/>
  </mergeCells>
  <conditionalFormatting sqref="D25:H29">
    <cfRule type="colorScale" priority="8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D38:H42">
    <cfRule type="colorScale" priority="7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L25:P29">
    <cfRule type="colorScale" priority="6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L38:P42">
    <cfRule type="colorScale" priority="5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D69:H73">
    <cfRule type="colorScale" priority="4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D82:H86">
    <cfRule type="colorScale" priority="3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L69:P73">
    <cfRule type="colorScale" priority="2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L82:P86">
    <cfRule type="colorScale" priority="1">
      <colorScale>
        <cfvo type="min"/>
        <cfvo type="percentile" val="50"/>
        <cfvo type="max"/>
        <color rgb="FF987C5E"/>
        <color rgb="FFBCA892"/>
        <color rgb="FFFFF9E6"/>
      </colorScale>
    </cfRule>
  </conditionalFormatting>
  <dataValidations count="1">
    <dataValidation type="list" allowBlank="1" showInputMessage="1" showErrorMessage="1" sqref="D8" xr:uid="{00000000-0002-0000-0100-000000000000}">
      <formula1>$D$15:$D$17</formula1>
    </dataValidation>
  </dataValidation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9"/>
  <sheetViews>
    <sheetView showGridLines="0" topLeftCell="B1" zoomScaleNormal="100" workbookViewId="0">
      <pane ySplit="2" topLeftCell="A240" activePane="bottomLeft" state="frozen"/>
      <selection pane="bottomLeft" activeCell="P254" sqref="P254"/>
    </sheetView>
  </sheetViews>
  <sheetFormatPr defaultRowHeight="16.8" outlineLevelRow="1" outlineLevelCol="1"/>
  <cols>
    <col min="1" max="1" width="7.77734375" style="122" customWidth="1"/>
    <col min="2" max="2" width="4.21875" style="36" customWidth="1"/>
    <col min="3" max="3" width="17.44140625" style="36" customWidth="1"/>
    <col min="4" max="4" width="11.88671875" style="36" customWidth="1"/>
    <col min="5" max="5" width="16.88671875" style="36" customWidth="1"/>
    <col min="6" max="6" width="12.5546875" style="36" customWidth="1"/>
    <col min="7" max="8" width="8.88671875" style="36" customWidth="1"/>
    <col min="9" max="11" width="10.5546875" style="36" bestFit="1" customWidth="1"/>
    <col min="12" max="13" width="11.6640625" style="36" bestFit="1" customWidth="1"/>
    <col min="14" max="14" width="11.6640625" style="36" customWidth="1"/>
    <col min="15" max="15" width="4.44140625" style="36" customWidth="1"/>
    <col min="16" max="16" width="27.109375" style="64" customWidth="1" outlineLevel="1"/>
    <col min="17" max="17" width="8.88671875" style="64" customWidth="1" outlineLevel="1"/>
    <col min="18" max="18" width="8.88671875" style="36" customWidth="1"/>
    <col min="19" max="16384" width="8.88671875" style="36"/>
  </cols>
  <sheetData>
    <row r="1" spans="1:16" ht="56.4" customHeigh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6">
      <c r="A2" s="122" t="s">
        <v>26</v>
      </c>
      <c r="B2" s="19" t="str">
        <f>"Nestlé S.A.  |  CHF millions  |  Scenario: "&amp;INDEX(Input!$B$12:$B$14,Input!$D$6)</f>
        <v>Nestlé S.A.  |  CHF millions  |  Scenario: Base Case</v>
      </c>
      <c r="C2" s="19"/>
      <c r="D2" s="19"/>
      <c r="E2" s="19"/>
      <c r="F2" s="19"/>
      <c r="G2" s="19"/>
      <c r="H2" s="19"/>
      <c r="I2" s="117">
        <f>F173</f>
        <v>2026</v>
      </c>
      <c r="J2" s="117">
        <f>I2+1</f>
        <v>2027</v>
      </c>
      <c r="K2" s="117">
        <f>J2+1</f>
        <v>2028</v>
      </c>
      <c r="L2" s="117">
        <f>K2+1</f>
        <v>2029</v>
      </c>
      <c r="M2" s="117">
        <f>L2+1</f>
        <v>2030</v>
      </c>
      <c r="N2" s="117" t="s">
        <v>53</v>
      </c>
      <c r="P2" s="63" t="s">
        <v>54</v>
      </c>
    </row>
    <row r="4" spans="1:16">
      <c r="A4" s="122" t="s">
        <v>26</v>
      </c>
      <c r="B4" s="18" t="s">
        <v>55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outlineLevel="1"/>
    <row r="6" spans="1:16" outlineLevel="1">
      <c r="C6" s="214" t="s">
        <v>56</v>
      </c>
      <c r="D6" s="215">
        <f>Output!$D$8</f>
        <v>2</v>
      </c>
    </row>
    <row r="7" spans="1:16" outlineLevel="1"/>
    <row r="8" spans="1:16" ht="17.399999999999999" customHeight="1" outlineLevel="1" thickBot="1">
      <c r="B8" s="107" t="s">
        <v>57</v>
      </c>
      <c r="I8" s="65">
        <f t="shared" ref="I8:N8" si="0">I$2</f>
        <v>2026</v>
      </c>
      <c r="J8" s="65">
        <f t="shared" si="0"/>
        <v>2027</v>
      </c>
      <c r="K8" s="65">
        <f t="shared" si="0"/>
        <v>2028</v>
      </c>
      <c r="L8" s="65">
        <f t="shared" si="0"/>
        <v>2029</v>
      </c>
      <c r="M8" s="65">
        <f t="shared" si="0"/>
        <v>2030</v>
      </c>
      <c r="N8" s="66" t="str">
        <f t="shared" si="0"/>
        <v>Term</v>
      </c>
    </row>
    <row r="9" spans="1:16" ht="17.399999999999999" customHeight="1" outlineLevel="1" thickTop="1"/>
    <row r="10" spans="1:16" outlineLevel="1">
      <c r="B10" s="73" t="s">
        <v>58</v>
      </c>
      <c r="I10" s="216">
        <f t="shared" ref="I10:N10" si="1">INDEX(I12:I14,$D$6)</f>
        <v>5.0000000000000001E-3</v>
      </c>
      <c r="J10" s="217">
        <f t="shared" si="1"/>
        <v>1.4999999999999999E-2</v>
      </c>
      <c r="K10" s="217">
        <f t="shared" si="1"/>
        <v>5.0000000000000001E-3</v>
      </c>
      <c r="L10" s="217">
        <f t="shared" si="1"/>
        <v>0.02</v>
      </c>
      <c r="M10" s="218">
        <f t="shared" si="1"/>
        <v>2.8000000000000001E-2</v>
      </c>
      <c r="N10" s="218">
        <f t="shared" si="1"/>
        <v>1.4999999999999999E-2</v>
      </c>
    </row>
    <row r="11" spans="1:16" outlineLevel="1"/>
    <row r="12" spans="1:16" outlineLevel="1">
      <c r="B12" s="36" t="s">
        <v>59</v>
      </c>
      <c r="I12" s="219">
        <v>2.5000000000000001E-2</v>
      </c>
      <c r="J12" s="220">
        <v>3.5000000000000003E-2</v>
      </c>
      <c r="K12" s="220">
        <v>0.04</v>
      </c>
      <c r="L12" s="220">
        <v>4.4999999999999998E-2</v>
      </c>
      <c r="M12" s="221">
        <v>0.05</v>
      </c>
      <c r="N12" s="221">
        <v>0.02</v>
      </c>
      <c r="P12" s="315" t="s">
        <v>60</v>
      </c>
    </row>
    <row r="13" spans="1:16" outlineLevel="1">
      <c r="B13" s="36" t="s">
        <v>61</v>
      </c>
      <c r="I13" s="222">
        <v>5.0000000000000001E-3</v>
      </c>
      <c r="J13" s="223">
        <v>1.4999999999999999E-2</v>
      </c>
      <c r="K13" s="223">
        <v>5.0000000000000001E-3</v>
      </c>
      <c r="L13" s="223">
        <v>0.02</v>
      </c>
      <c r="M13" s="224">
        <v>2.8000000000000001E-2</v>
      </c>
      <c r="N13" s="224">
        <v>1.4999999999999999E-2</v>
      </c>
      <c r="P13" s="315" t="s">
        <v>62</v>
      </c>
    </row>
    <row r="14" spans="1:16" outlineLevel="1">
      <c r="B14" s="36" t="s">
        <v>63</v>
      </c>
      <c r="I14" s="225">
        <v>-1.4999999999999999E-2</v>
      </c>
      <c r="J14" s="226">
        <v>-0.01</v>
      </c>
      <c r="K14" s="226">
        <v>-5.5E-2</v>
      </c>
      <c r="L14" s="226">
        <v>-0.03</v>
      </c>
      <c r="M14" s="227">
        <v>5.0000000000000001E-3</v>
      </c>
      <c r="N14" s="227">
        <v>0.01</v>
      </c>
      <c r="P14" s="315" t="s">
        <v>64</v>
      </c>
    </row>
    <row r="15" spans="1:16" outlineLevel="1">
      <c r="P15" s="315"/>
    </row>
    <row r="16" spans="1:16" outlineLevel="1">
      <c r="P16" s="315"/>
    </row>
    <row r="17" spans="2:16" outlineLevel="1">
      <c r="B17" s="73" t="s">
        <v>65</v>
      </c>
      <c r="I17" s="216">
        <f t="shared" ref="I17:N17" si="2">INDEX(I19:I21,$D$6)</f>
        <v>4.1999999999999997E-3</v>
      </c>
      <c r="J17" s="217">
        <f t="shared" si="2"/>
        <v>4.3E-3</v>
      </c>
      <c r="K17" s="217">
        <f t="shared" si="2"/>
        <v>4.3E-3</v>
      </c>
      <c r="L17" s="217">
        <f t="shared" si="2"/>
        <v>4.4000000000000003E-3</v>
      </c>
      <c r="M17" s="218">
        <f t="shared" si="2"/>
        <v>4.4999999999999997E-3</v>
      </c>
      <c r="N17" s="218">
        <f t="shared" si="2"/>
        <v>4.4999999999999997E-3</v>
      </c>
      <c r="P17" s="315"/>
    </row>
    <row r="18" spans="2:16" outlineLevel="1">
      <c r="P18" s="315"/>
    </row>
    <row r="19" spans="2:16" outlineLevel="1">
      <c r="B19" s="95" t="s">
        <v>59</v>
      </c>
      <c r="I19" s="219">
        <v>4.1999999999999997E-3</v>
      </c>
      <c r="J19" s="220">
        <v>4.4000000000000003E-3</v>
      </c>
      <c r="K19" s="220">
        <v>4.5999999999999999E-3</v>
      </c>
      <c r="L19" s="220">
        <v>4.7999999999999996E-3</v>
      </c>
      <c r="M19" s="221">
        <v>5.0000000000000001E-3</v>
      </c>
      <c r="N19" s="228">
        <f>M19</f>
        <v>5.0000000000000001E-3</v>
      </c>
      <c r="P19" s="315" t="s">
        <v>66</v>
      </c>
    </row>
    <row r="20" spans="2:16" outlineLevel="1">
      <c r="B20" s="95" t="s">
        <v>61</v>
      </c>
      <c r="I20" s="222">
        <v>4.1999999999999997E-3</v>
      </c>
      <c r="J20" s="223">
        <v>4.3E-3</v>
      </c>
      <c r="K20" s="223">
        <v>4.3E-3</v>
      </c>
      <c r="L20" s="223">
        <v>4.4000000000000003E-3</v>
      </c>
      <c r="M20" s="224">
        <v>4.4999999999999997E-3</v>
      </c>
      <c r="N20" s="229">
        <f>M20</f>
        <v>4.4999999999999997E-3</v>
      </c>
      <c r="P20" s="315" t="s">
        <v>67</v>
      </c>
    </row>
    <row r="21" spans="2:16" outlineLevel="1">
      <c r="B21" s="95" t="s">
        <v>63</v>
      </c>
      <c r="I21" s="225">
        <v>3.8E-3</v>
      </c>
      <c r="J21" s="226">
        <v>3.5000000000000001E-3</v>
      </c>
      <c r="K21" s="226">
        <v>3.0000000000000001E-3</v>
      </c>
      <c r="L21" s="226">
        <v>3.3E-3</v>
      </c>
      <c r="M21" s="227">
        <v>3.5999999999999999E-3</v>
      </c>
      <c r="N21" s="230">
        <f>M21</f>
        <v>3.5999999999999999E-3</v>
      </c>
      <c r="P21" s="315" t="s">
        <v>68</v>
      </c>
    </row>
    <row r="22" spans="2:16" outlineLevel="1">
      <c r="P22" s="315"/>
    </row>
    <row r="23" spans="2:16" outlineLevel="1">
      <c r="P23" s="315"/>
    </row>
    <row r="24" spans="2:16" outlineLevel="1">
      <c r="B24" s="73" t="s">
        <v>69</v>
      </c>
      <c r="I24" s="216">
        <f t="shared" ref="I24:N24" si="3">INDEX(I26:I28,$D$6)</f>
        <v>9.0441984638767203E-4</v>
      </c>
      <c r="J24" s="217">
        <f t="shared" si="3"/>
        <v>1.87407191548596E-2</v>
      </c>
      <c r="K24" s="217">
        <f t="shared" si="3"/>
        <v>1.7768005582209999E-2</v>
      </c>
      <c r="L24" s="217">
        <f t="shared" si="3"/>
        <v>1.8371852692881101E-2</v>
      </c>
      <c r="M24" s="218">
        <f t="shared" si="3"/>
        <v>2.55301786228894E-2</v>
      </c>
      <c r="N24" s="218">
        <f t="shared" si="3"/>
        <v>1.4999999999999999E-2</v>
      </c>
      <c r="P24" s="315"/>
    </row>
    <row r="25" spans="2:16" outlineLevel="1">
      <c r="P25" s="315"/>
    </row>
    <row r="26" spans="2:16" outlineLevel="1">
      <c r="B26" s="36" t="s">
        <v>59</v>
      </c>
      <c r="I26" s="219">
        <v>1.50821543722017E-2</v>
      </c>
      <c r="J26" s="220">
        <v>2.8739311795296801E-2</v>
      </c>
      <c r="K26" s="220">
        <v>3.0626200588399301E-2</v>
      </c>
      <c r="L26" s="220">
        <v>3.4982240647249502E-2</v>
      </c>
      <c r="M26" s="221">
        <v>3.5676957968046701E-2</v>
      </c>
      <c r="N26" s="228">
        <f>N12</f>
        <v>0.02</v>
      </c>
      <c r="P26" s="315" t="s">
        <v>70</v>
      </c>
    </row>
    <row r="27" spans="2:16" outlineLevel="1">
      <c r="B27" s="36" t="s">
        <v>61</v>
      </c>
      <c r="I27" s="222">
        <v>9.0441984638767203E-4</v>
      </c>
      <c r="J27" s="223">
        <v>1.87407191548596E-2</v>
      </c>
      <c r="K27" s="223">
        <v>1.7768005582209999E-2</v>
      </c>
      <c r="L27" s="223">
        <v>1.8371852692881101E-2</v>
      </c>
      <c r="M27" s="224">
        <v>2.55301786228894E-2</v>
      </c>
      <c r="N27" s="229">
        <f>N13</f>
        <v>1.4999999999999999E-2</v>
      </c>
      <c r="P27" s="315" t="s">
        <v>71</v>
      </c>
    </row>
    <row r="28" spans="2:16" outlineLevel="1">
      <c r="B28" s="36" t="s">
        <v>63</v>
      </c>
      <c r="I28" s="225">
        <v>-1.0364990758615E-2</v>
      </c>
      <c r="J28" s="226">
        <v>3.39324456128276E-4</v>
      </c>
      <c r="K28" s="226">
        <v>-5.2572216617453198E-2</v>
      </c>
      <c r="L28" s="226">
        <v>-1.83886408829936E-3</v>
      </c>
      <c r="M28" s="227">
        <v>-5.4555294172531402E-5</v>
      </c>
      <c r="N28" s="230">
        <f>N14</f>
        <v>0.01</v>
      </c>
      <c r="P28" s="315" t="s">
        <v>72</v>
      </c>
    </row>
    <row r="29" spans="2:16" outlineLevel="1">
      <c r="P29" s="315"/>
    </row>
    <row r="30" spans="2:16" outlineLevel="1">
      <c r="P30" s="315"/>
    </row>
    <row r="31" spans="2:16" outlineLevel="1">
      <c r="B31" s="73" t="s">
        <v>73</v>
      </c>
      <c r="I31" s="216">
        <f t="shared" ref="I31:N31" si="4">INDEX(I33:I35,$D$6)</f>
        <v>8.1000000000000003E-2</v>
      </c>
      <c r="J31" s="217">
        <f t="shared" si="4"/>
        <v>8.0500000000000002E-2</v>
      </c>
      <c r="K31" s="217">
        <f t="shared" si="4"/>
        <v>0.08</v>
      </c>
      <c r="L31" s="217">
        <f t="shared" si="4"/>
        <v>7.9500000000000001E-2</v>
      </c>
      <c r="M31" s="218">
        <f t="shared" si="4"/>
        <v>7.9000000000000001E-2</v>
      </c>
      <c r="N31" s="218">
        <f t="shared" si="4"/>
        <v>7.9000000000000001E-2</v>
      </c>
      <c r="P31" s="315"/>
    </row>
    <row r="32" spans="2:16" outlineLevel="1">
      <c r="P32" s="315"/>
    </row>
    <row r="33" spans="2:16" outlineLevel="1">
      <c r="B33" s="36" t="s">
        <v>59</v>
      </c>
      <c r="I33" s="219">
        <v>0.08</v>
      </c>
      <c r="J33" s="220">
        <v>7.85E-2</v>
      </c>
      <c r="K33" s="220">
        <v>7.6999999999999999E-2</v>
      </c>
      <c r="L33" s="220">
        <v>7.5499999999999998E-2</v>
      </c>
      <c r="M33" s="221">
        <v>7.3999999999999996E-2</v>
      </c>
      <c r="N33" s="228">
        <f>M33</f>
        <v>7.3999999999999996E-2</v>
      </c>
      <c r="P33" s="315" t="s">
        <v>74</v>
      </c>
    </row>
    <row r="34" spans="2:16" outlineLevel="1">
      <c r="B34" s="36" t="s">
        <v>61</v>
      </c>
      <c r="I34" s="222">
        <v>8.1000000000000003E-2</v>
      </c>
      <c r="J34" s="223">
        <v>8.0500000000000002E-2</v>
      </c>
      <c r="K34" s="223">
        <v>0.08</v>
      </c>
      <c r="L34" s="223">
        <v>7.9500000000000001E-2</v>
      </c>
      <c r="M34" s="224">
        <v>7.9000000000000001E-2</v>
      </c>
      <c r="N34" s="229">
        <f>M34</f>
        <v>7.9000000000000001E-2</v>
      </c>
      <c r="P34" s="315" t="s">
        <v>75</v>
      </c>
    </row>
    <row r="35" spans="2:16" outlineLevel="1">
      <c r="B35" s="36" t="s">
        <v>63</v>
      </c>
      <c r="I35" s="225">
        <v>8.3000000000000004E-2</v>
      </c>
      <c r="J35" s="226">
        <v>8.5000000000000006E-2</v>
      </c>
      <c r="K35" s="226">
        <v>0.09</v>
      </c>
      <c r="L35" s="226">
        <v>8.6999999999999994E-2</v>
      </c>
      <c r="M35" s="227">
        <v>8.4000000000000005E-2</v>
      </c>
      <c r="N35" s="230">
        <f>M35</f>
        <v>8.4000000000000005E-2</v>
      </c>
      <c r="P35" s="315" t="s">
        <v>76</v>
      </c>
    </row>
    <row r="36" spans="2:16" outlineLevel="1">
      <c r="P36" s="315"/>
    </row>
    <row r="37" spans="2:16" outlineLevel="1">
      <c r="P37" s="315"/>
    </row>
    <row r="38" spans="2:16" outlineLevel="1">
      <c r="B38" s="73" t="s">
        <v>77</v>
      </c>
      <c r="I38" s="216">
        <f t="shared" ref="I38:N38" si="5">INDEX(I40:I42,$D$6)</f>
        <v>0.2</v>
      </c>
      <c r="J38" s="217">
        <f t="shared" si="5"/>
        <v>0.20100000000000001</v>
      </c>
      <c r="K38" s="217">
        <f t="shared" si="5"/>
        <v>0.20100000000000001</v>
      </c>
      <c r="L38" s="217">
        <f t="shared" si="5"/>
        <v>0.20200000000000001</v>
      </c>
      <c r="M38" s="218">
        <f t="shared" si="5"/>
        <v>0.20300000000000001</v>
      </c>
      <c r="N38" s="218">
        <f t="shared" si="5"/>
        <v>0.20300000000000001</v>
      </c>
      <c r="P38" s="315"/>
    </row>
    <row r="39" spans="2:16" outlineLevel="1">
      <c r="P39" s="315"/>
    </row>
    <row r="40" spans="2:16" outlineLevel="1">
      <c r="B40" s="36" t="s">
        <v>59</v>
      </c>
      <c r="I40" s="219">
        <v>0.20100000000000001</v>
      </c>
      <c r="J40" s="220">
        <v>0.20300000000000001</v>
      </c>
      <c r="K40" s="220">
        <v>0.20499999999999999</v>
      </c>
      <c r="L40" s="220">
        <v>0.20599999999999999</v>
      </c>
      <c r="M40" s="221">
        <v>0.20799999999999999</v>
      </c>
      <c r="N40" s="228">
        <f>M40</f>
        <v>0.20799999999999999</v>
      </c>
      <c r="P40" s="315" t="s">
        <v>78</v>
      </c>
    </row>
    <row r="41" spans="2:16" outlineLevel="1">
      <c r="B41" s="36" t="s">
        <v>61</v>
      </c>
      <c r="I41" s="222">
        <v>0.2</v>
      </c>
      <c r="J41" s="223">
        <v>0.20100000000000001</v>
      </c>
      <c r="K41" s="223">
        <v>0.20100000000000001</v>
      </c>
      <c r="L41" s="223">
        <v>0.20200000000000001</v>
      </c>
      <c r="M41" s="224">
        <v>0.20300000000000001</v>
      </c>
      <c r="N41" s="229">
        <f>M41</f>
        <v>0.20300000000000001</v>
      </c>
      <c r="P41" s="315" t="s">
        <v>79</v>
      </c>
    </row>
    <row r="42" spans="2:16" outlineLevel="1">
      <c r="B42" s="36" t="s">
        <v>63</v>
      </c>
      <c r="I42" s="225">
        <v>0.19700000000000001</v>
      </c>
      <c r="J42" s="226">
        <v>0.20200000000000001</v>
      </c>
      <c r="K42" s="226">
        <v>0.21299999999999999</v>
      </c>
      <c r="L42" s="226">
        <v>0.20499999999999999</v>
      </c>
      <c r="M42" s="227">
        <v>0.19900000000000001</v>
      </c>
      <c r="N42" s="230">
        <f>M42</f>
        <v>0.19900000000000001</v>
      </c>
      <c r="P42" s="315" t="s">
        <v>80</v>
      </c>
    </row>
    <row r="43" spans="2:16" outlineLevel="1">
      <c r="P43" s="315"/>
    </row>
    <row r="44" spans="2:16" outlineLevel="1">
      <c r="P44" s="315"/>
    </row>
    <row r="45" spans="2:16" outlineLevel="1">
      <c r="B45" s="73" t="s">
        <v>81</v>
      </c>
      <c r="I45" s="216">
        <f t="shared" ref="I45:N45" si="6">INDEX(I47:I49,$D$6)</f>
        <v>1.4E-3</v>
      </c>
      <c r="J45" s="217">
        <f t="shared" si="6"/>
        <v>1.4E-3</v>
      </c>
      <c r="K45" s="217">
        <f t="shared" si="6"/>
        <v>1.2999999999999999E-3</v>
      </c>
      <c r="L45" s="217">
        <f t="shared" si="6"/>
        <v>1.4E-3</v>
      </c>
      <c r="M45" s="218">
        <f t="shared" si="6"/>
        <v>1.4E-3</v>
      </c>
      <c r="N45" s="218">
        <f t="shared" si="6"/>
        <v>1.4E-3</v>
      </c>
      <c r="P45" s="315"/>
    </row>
    <row r="46" spans="2:16" outlineLevel="1">
      <c r="P46" s="315"/>
    </row>
    <row r="47" spans="2:16" outlineLevel="1">
      <c r="B47" s="36" t="s">
        <v>59</v>
      </c>
      <c r="I47" s="219">
        <v>1.6000000000000001E-3</v>
      </c>
      <c r="J47" s="220">
        <v>1.6999999999999999E-3</v>
      </c>
      <c r="K47" s="220">
        <v>1.6999999999999999E-3</v>
      </c>
      <c r="L47" s="220">
        <v>1.8E-3</v>
      </c>
      <c r="M47" s="221">
        <v>1.8E-3</v>
      </c>
      <c r="N47" s="228">
        <f>M47</f>
        <v>1.8E-3</v>
      </c>
      <c r="P47" s="315" t="s">
        <v>82</v>
      </c>
    </row>
    <row r="48" spans="2:16" outlineLevel="1">
      <c r="B48" s="36" t="s">
        <v>61</v>
      </c>
      <c r="I48" s="222">
        <v>1.4E-3</v>
      </c>
      <c r="J48" s="223">
        <v>1.4E-3</v>
      </c>
      <c r="K48" s="223">
        <v>1.2999999999999999E-3</v>
      </c>
      <c r="L48" s="223">
        <v>1.4E-3</v>
      </c>
      <c r="M48" s="224">
        <v>1.4E-3</v>
      </c>
      <c r="N48" s="229">
        <f>M48</f>
        <v>1.4E-3</v>
      </c>
      <c r="P48" s="315" t="s">
        <v>83</v>
      </c>
    </row>
    <row r="49" spans="2:16" outlineLevel="1">
      <c r="B49" s="36" t="s">
        <v>63</v>
      </c>
      <c r="I49" s="225">
        <v>8.0000000000000004E-4</v>
      </c>
      <c r="J49" s="226">
        <v>5.9999999999999995E-4</v>
      </c>
      <c r="K49" s="226">
        <v>5.0000000000000001E-4</v>
      </c>
      <c r="L49" s="226">
        <v>6.9999999999999999E-4</v>
      </c>
      <c r="M49" s="227">
        <v>8.9999999999999998E-4</v>
      </c>
      <c r="N49" s="230">
        <f>M49</f>
        <v>8.9999999999999998E-4</v>
      </c>
      <c r="P49" s="315" t="s">
        <v>84</v>
      </c>
    </row>
    <row r="50" spans="2:16" outlineLevel="1">
      <c r="P50" s="315"/>
    </row>
    <row r="51" spans="2:16" outlineLevel="1">
      <c r="P51" s="315"/>
    </row>
    <row r="52" spans="2:16" outlineLevel="1">
      <c r="B52" s="73" t="s">
        <v>85</v>
      </c>
      <c r="I52" s="216">
        <f t="shared" ref="I52:N52" si="7">INDEX(I54:I56,$D$6)</f>
        <v>2.4E-2</v>
      </c>
      <c r="J52" s="217">
        <f t="shared" si="7"/>
        <v>1.9E-2</v>
      </c>
      <c r="K52" s="217">
        <f t="shared" si="7"/>
        <v>1.4999999999999999E-2</v>
      </c>
      <c r="L52" s="217">
        <f t="shared" si="7"/>
        <v>1.15E-2</v>
      </c>
      <c r="M52" s="218">
        <f t="shared" si="7"/>
        <v>9.4999999999999998E-3</v>
      </c>
      <c r="N52" s="218">
        <f t="shared" si="7"/>
        <v>9.4999999999999998E-3</v>
      </c>
      <c r="P52" s="315"/>
    </row>
    <row r="53" spans="2:16" outlineLevel="1">
      <c r="P53" s="315"/>
    </row>
    <row r="54" spans="2:16" outlineLevel="1">
      <c r="B54" s="36" t="s">
        <v>59</v>
      </c>
      <c r="I54" s="219">
        <v>2.1999999999999999E-2</v>
      </c>
      <c r="J54" s="220">
        <v>1.7000000000000001E-2</v>
      </c>
      <c r="K54" s="220">
        <v>1.2999999999999999E-2</v>
      </c>
      <c r="L54" s="220">
        <v>0.01</v>
      </c>
      <c r="M54" s="221">
        <v>8.5000000000000006E-3</v>
      </c>
      <c r="N54" s="228">
        <f>M54</f>
        <v>8.5000000000000006E-3</v>
      </c>
      <c r="P54" s="315" t="s">
        <v>86</v>
      </c>
    </row>
    <row r="55" spans="2:16" outlineLevel="1">
      <c r="B55" s="36" t="s">
        <v>61</v>
      </c>
      <c r="I55" s="222">
        <v>2.4E-2</v>
      </c>
      <c r="J55" s="223">
        <v>1.9E-2</v>
      </c>
      <c r="K55" s="223">
        <v>1.4999999999999999E-2</v>
      </c>
      <c r="L55" s="223">
        <v>1.15E-2</v>
      </c>
      <c r="M55" s="224">
        <v>9.4999999999999998E-3</v>
      </c>
      <c r="N55" s="229">
        <f>M55</f>
        <v>9.4999999999999998E-3</v>
      </c>
      <c r="P55" s="315" t="s">
        <v>87</v>
      </c>
    </row>
    <row r="56" spans="2:16" outlineLevel="1">
      <c r="B56" s="36" t="s">
        <v>63</v>
      </c>
      <c r="I56" s="225">
        <v>2.7E-2</v>
      </c>
      <c r="J56" s="226">
        <v>2.5000000000000001E-2</v>
      </c>
      <c r="K56" s="226">
        <v>3.4000000000000002E-2</v>
      </c>
      <c r="L56" s="226">
        <v>2.1000000000000001E-2</v>
      </c>
      <c r="M56" s="227">
        <v>1.6E-2</v>
      </c>
      <c r="N56" s="227">
        <v>1.2E-2</v>
      </c>
      <c r="P56" s="315" t="s">
        <v>88</v>
      </c>
    </row>
    <row r="57" spans="2:16" outlineLevel="1">
      <c r="P57" s="315"/>
    </row>
    <row r="58" spans="2:16" outlineLevel="1">
      <c r="P58" s="315"/>
    </row>
    <row r="59" spans="2:16" outlineLevel="1">
      <c r="B59" s="73" t="s">
        <v>89</v>
      </c>
      <c r="I59" s="216">
        <f t="shared" ref="I59:N59" si="8">INDEX(I61:I63,$D$6)</f>
        <v>3.0000000000000001E-3</v>
      </c>
      <c r="J59" s="217">
        <f t="shared" si="8"/>
        <v>2.8E-3</v>
      </c>
      <c r="K59" s="217">
        <f t="shared" si="8"/>
        <v>2.7000000000000001E-3</v>
      </c>
      <c r="L59" s="217">
        <f t="shared" si="8"/>
        <v>2.8E-3</v>
      </c>
      <c r="M59" s="218">
        <f t="shared" si="8"/>
        <v>2.8E-3</v>
      </c>
      <c r="N59" s="218">
        <f t="shared" si="8"/>
        <v>2.8E-3</v>
      </c>
      <c r="P59" s="315"/>
    </row>
    <row r="60" spans="2:16" outlineLevel="1">
      <c r="P60" s="315"/>
    </row>
    <row r="61" spans="2:16" outlineLevel="1">
      <c r="B61" s="36" t="s">
        <v>59</v>
      </c>
      <c r="I61" s="219">
        <v>3.5000000000000001E-3</v>
      </c>
      <c r="J61" s="220">
        <v>3.5000000000000001E-3</v>
      </c>
      <c r="K61" s="220">
        <v>3.5000000000000001E-3</v>
      </c>
      <c r="L61" s="220">
        <v>3.3999999999999998E-3</v>
      </c>
      <c r="M61" s="221">
        <v>3.3999999999999998E-3</v>
      </c>
      <c r="N61" s="228">
        <f>M61</f>
        <v>3.3999999999999998E-3</v>
      </c>
      <c r="P61" s="315" t="s">
        <v>90</v>
      </c>
    </row>
    <row r="62" spans="2:16" outlineLevel="1">
      <c r="B62" s="36" t="s">
        <v>61</v>
      </c>
      <c r="I62" s="222">
        <v>3.0000000000000001E-3</v>
      </c>
      <c r="J62" s="223">
        <v>2.8E-3</v>
      </c>
      <c r="K62" s="223">
        <v>2.7000000000000001E-3</v>
      </c>
      <c r="L62" s="223">
        <v>2.8E-3</v>
      </c>
      <c r="M62" s="224">
        <v>2.8E-3</v>
      </c>
      <c r="N62" s="229">
        <f>M62</f>
        <v>2.8E-3</v>
      </c>
      <c r="P62" s="315" t="s">
        <v>91</v>
      </c>
    </row>
    <row r="63" spans="2:16" outlineLevel="1">
      <c r="B63" s="36" t="s">
        <v>63</v>
      </c>
      <c r="I63" s="225">
        <v>1.5E-3</v>
      </c>
      <c r="J63" s="226">
        <v>1.1999999999999999E-3</v>
      </c>
      <c r="K63" s="226">
        <v>1E-3</v>
      </c>
      <c r="L63" s="226">
        <v>1.1999999999999999E-3</v>
      </c>
      <c r="M63" s="227">
        <v>1.5E-3</v>
      </c>
      <c r="N63" s="230">
        <f>M63</f>
        <v>1.5E-3</v>
      </c>
      <c r="P63" s="315" t="s">
        <v>92</v>
      </c>
    </row>
    <row r="64" spans="2:16" outlineLevel="1">
      <c r="P64" s="315"/>
    </row>
    <row r="65" spans="2:16" outlineLevel="1">
      <c r="P65" s="315"/>
    </row>
    <row r="66" spans="2:16" outlineLevel="1">
      <c r="B66" s="73" t="s">
        <v>93</v>
      </c>
      <c r="I66" s="216">
        <f t="shared" ref="I66:N66" si="9">INDEX(I68:I70,$D$6)</f>
        <v>6.0000000000000001E-3</v>
      </c>
      <c r="J66" s="217">
        <f t="shared" si="9"/>
        <v>5.4999999999999997E-3</v>
      </c>
      <c r="K66" s="217">
        <f t="shared" si="9"/>
        <v>5.1999999999999998E-3</v>
      </c>
      <c r="L66" s="217">
        <f t="shared" si="9"/>
        <v>5.0000000000000001E-3</v>
      </c>
      <c r="M66" s="218">
        <f t="shared" si="9"/>
        <v>4.7999999999999996E-3</v>
      </c>
      <c r="N66" s="218">
        <f t="shared" si="9"/>
        <v>4.7999999999999996E-3</v>
      </c>
      <c r="P66" s="315"/>
    </row>
    <row r="67" spans="2:16" outlineLevel="1">
      <c r="P67" s="315"/>
    </row>
    <row r="68" spans="2:16" outlineLevel="1">
      <c r="B68" s="36" t="s">
        <v>59</v>
      </c>
      <c r="I68" s="219">
        <v>5.0000000000000001E-3</v>
      </c>
      <c r="J68" s="220">
        <v>4.4999999999999997E-3</v>
      </c>
      <c r="K68" s="220">
        <v>4.1999999999999997E-3</v>
      </c>
      <c r="L68" s="220">
        <v>4.0000000000000001E-3</v>
      </c>
      <c r="M68" s="221">
        <v>3.8E-3</v>
      </c>
      <c r="N68" s="228">
        <f>M68</f>
        <v>3.8E-3</v>
      </c>
      <c r="P68" s="315" t="s">
        <v>94</v>
      </c>
    </row>
    <row r="69" spans="2:16" outlineLevel="1">
      <c r="B69" s="36" t="s">
        <v>61</v>
      </c>
      <c r="I69" s="222">
        <v>6.0000000000000001E-3</v>
      </c>
      <c r="J69" s="223">
        <v>5.4999999999999997E-3</v>
      </c>
      <c r="K69" s="223">
        <v>5.1999999999999998E-3</v>
      </c>
      <c r="L69" s="223">
        <v>5.0000000000000001E-3</v>
      </c>
      <c r="M69" s="224">
        <v>4.7999999999999996E-3</v>
      </c>
      <c r="N69" s="229">
        <f>M69</f>
        <v>4.7999999999999996E-3</v>
      </c>
      <c r="P69" s="315" t="s">
        <v>95</v>
      </c>
    </row>
    <row r="70" spans="2:16" outlineLevel="1">
      <c r="B70" s="36" t="s">
        <v>63</v>
      </c>
      <c r="I70" s="225">
        <v>8.5000000000000006E-3</v>
      </c>
      <c r="J70" s="226">
        <v>0.01</v>
      </c>
      <c r="K70" s="226">
        <v>1.35E-2</v>
      </c>
      <c r="L70" s="226">
        <v>1.0500000000000001E-2</v>
      </c>
      <c r="M70" s="227">
        <v>8.5000000000000006E-3</v>
      </c>
      <c r="N70" s="227">
        <v>7.0000000000000001E-3</v>
      </c>
      <c r="P70" s="315" t="s">
        <v>96</v>
      </c>
    </row>
    <row r="71" spans="2:16" outlineLevel="1">
      <c r="P71" s="315"/>
    </row>
    <row r="72" spans="2:16" outlineLevel="1">
      <c r="P72" s="315"/>
    </row>
    <row r="73" spans="2:16" outlineLevel="1">
      <c r="B73" s="73" t="s">
        <v>97</v>
      </c>
      <c r="I73" s="216">
        <f t="shared" ref="I73:N73" si="10">INDEX(I75:I77,$D$6)</f>
        <v>0.03</v>
      </c>
      <c r="J73" s="217">
        <f t="shared" si="10"/>
        <v>0.04</v>
      </c>
      <c r="K73" s="217">
        <f t="shared" si="10"/>
        <v>0.04</v>
      </c>
      <c r="L73" s="217">
        <f t="shared" si="10"/>
        <v>0.05</v>
      </c>
      <c r="M73" s="218">
        <f t="shared" si="10"/>
        <v>0.05</v>
      </c>
      <c r="N73" s="218">
        <f t="shared" si="10"/>
        <v>1.4999999999999999E-2</v>
      </c>
      <c r="P73" s="315"/>
    </row>
    <row r="74" spans="2:16" outlineLevel="1">
      <c r="P74" s="315"/>
    </row>
    <row r="75" spans="2:16" outlineLevel="1">
      <c r="B75" s="36" t="s">
        <v>59</v>
      </c>
      <c r="I75" s="219">
        <v>0.06</v>
      </c>
      <c r="J75" s="220">
        <v>0.06</v>
      </c>
      <c r="K75" s="220">
        <v>7.0000000000000007E-2</v>
      </c>
      <c r="L75" s="220">
        <v>7.0000000000000007E-2</v>
      </c>
      <c r="M75" s="221">
        <v>7.0000000000000007E-2</v>
      </c>
      <c r="N75" s="228">
        <f>N12</f>
        <v>0.02</v>
      </c>
      <c r="P75" s="315" t="s">
        <v>98</v>
      </c>
    </row>
    <row r="76" spans="2:16" outlineLevel="1">
      <c r="B76" s="36" t="s">
        <v>61</v>
      </c>
      <c r="I76" s="222">
        <v>0.03</v>
      </c>
      <c r="J76" s="223">
        <v>0.04</v>
      </c>
      <c r="K76" s="223">
        <v>0.04</v>
      </c>
      <c r="L76" s="223">
        <v>0.05</v>
      </c>
      <c r="M76" s="224">
        <v>0.05</v>
      </c>
      <c r="N76" s="229">
        <f>N13</f>
        <v>1.4999999999999999E-2</v>
      </c>
      <c r="P76" s="315" t="s">
        <v>99</v>
      </c>
    </row>
    <row r="77" spans="2:16" outlineLevel="1">
      <c r="B77" s="36" t="s">
        <v>63</v>
      </c>
      <c r="I77" s="225">
        <v>-0.1</v>
      </c>
      <c r="J77" s="226">
        <v>-0.05</v>
      </c>
      <c r="K77" s="226">
        <v>-0.15</v>
      </c>
      <c r="L77" s="226">
        <v>-0.05</v>
      </c>
      <c r="M77" s="227">
        <v>0.03</v>
      </c>
      <c r="N77" s="230">
        <f>N14</f>
        <v>0.01</v>
      </c>
      <c r="P77" s="315" t="s">
        <v>100</v>
      </c>
    </row>
    <row r="78" spans="2:16" outlineLevel="1">
      <c r="P78" s="315"/>
    </row>
    <row r="79" spans="2:16" outlineLevel="1"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P79" s="315"/>
    </row>
    <row r="80" spans="2:16" outlineLevel="1">
      <c r="P80" s="315"/>
    </row>
    <row r="81" spans="1:16">
      <c r="A81" s="122" t="s">
        <v>26</v>
      </c>
      <c r="B81" s="18" t="s">
        <v>101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P81" s="315"/>
    </row>
    <row r="82" spans="1:16">
      <c r="P82" s="315"/>
    </row>
    <row r="83" spans="1:16" ht="17.399999999999999" customHeight="1" outlineLevel="1">
      <c r="B83" s="107" t="s">
        <v>57</v>
      </c>
      <c r="I83" s="65">
        <f t="shared" ref="I83:N83" si="11">I$2</f>
        <v>2026</v>
      </c>
      <c r="J83" s="65">
        <f t="shared" si="11"/>
        <v>2027</v>
      </c>
      <c r="K83" s="65">
        <f t="shared" si="11"/>
        <v>2028</v>
      </c>
      <c r="L83" s="65">
        <f t="shared" si="11"/>
        <v>2029</v>
      </c>
      <c r="M83" s="65">
        <f t="shared" si="11"/>
        <v>2030</v>
      </c>
      <c r="N83" s="65" t="str">
        <f t="shared" si="11"/>
        <v>Term</v>
      </c>
      <c r="P83" s="315"/>
    </row>
    <row r="84" spans="1:16" ht="17.399999999999999" customHeight="1" outlineLevel="1" thickBot="1">
      <c r="P84" s="315"/>
    </row>
    <row r="85" spans="1:16" ht="17.399999999999999" outlineLevel="1" thickTop="1">
      <c r="B85" s="73"/>
      <c r="P85" s="315"/>
    </row>
    <row r="86" spans="1:16" outlineLevel="1">
      <c r="B86" s="73" t="s">
        <v>102</v>
      </c>
      <c r="F86" s="68" t="s">
        <v>103</v>
      </c>
      <c r="I86" s="318">
        <f>INDEX(I88:I90,$D$6)</f>
        <v>43</v>
      </c>
      <c r="J86" s="319">
        <f t="shared" ref="J86:N86" si="12">INDEX(J88:J90,$D$6)</f>
        <v>43</v>
      </c>
      <c r="K86" s="319">
        <f t="shared" si="12"/>
        <v>42.5</v>
      </c>
      <c r="L86" s="319">
        <f t="shared" si="12"/>
        <v>42</v>
      </c>
      <c r="M86" s="320">
        <f t="shared" si="12"/>
        <v>42</v>
      </c>
      <c r="N86" s="320">
        <f t="shared" si="12"/>
        <v>42</v>
      </c>
      <c r="P86" s="315"/>
    </row>
    <row r="87" spans="1:16" outlineLevel="1">
      <c r="F87" s="68"/>
      <c r="P87" s="315"/>
    </row>
    <row r="88" spans="1:16" outlineLevel="1">
      <c r="B88" s="312" t="s">
        <v>59</v>
      </c>
      <c r="C88" s="312"/>
      <c r="D88" s="312"/>
      <c r="E88" s="312"/>
      <c r="F88" s="316"/>
      <c r="G88" s="312"/>
      <c r="H88" s="312"/>
      <c r="I88" s="335">
        <v>42.5</v>
      </c>
      <c r="J88" s="336">
        <v>42</v>
      </c>
      <c r="K88" s="336">
        <v>41.5</v>
      </c>
      <c r="L88" s="336">
        <v>41</v>
      </c>
      <c r="M88" s="337">
        <v>40.5</v>
      </c>
      <c r="N88" s="342">
        <f>M88</f>
        <v>40.5</v>
      </c>
      <c r="P88" s="315" t="s">
        <v>104</v>
      </c>
    </row>
    <row r="89" spans="1:16" outlineLevel="1">
      <c r="B89" s="312" t="s">
        <v>61</v>
      </c>
      <c r="C89" s="312"/>
      <c r="D89" s="312"/>
      <c r="E89" s="312"/>
      <c r="F89" s="316"/>
      <c r="G89" s="312"/>
      <c r="H89" s="312"/>
      <c r="I89" s="338">
        <v>43</v>
      </c>
      <c r="J89" s="231">
        <v>43</v>
      </c>
      <c r="K89" s="231">
        <v>42.5</v>
      </c>
      <c r="L89" s="231">
        <v>42</v>
      </c>
      <c r="M89" s="232">
        <v>42</v>
      </c>
      <c r="N89" s="343">
        <f>M89</f>
        <v>42</v>
      </c>
      <c r="P89" s="315" t="s">
        <v>105</v>
      </c>
    </row>
    <row r="90" spans="1:16" outlineLevel="1">
      <c r="B90" s="312" t="s">
        <v>63</v>
      </c>
      <c r="C90" s="312"/>
      <c r="D90" s="312"/>
      <c r="E90" s="312"/>
      <c r="F90" s="316"/>
      <c r="G90" s="312"/>
      <c r="H90" s="312"/>
      <c r="I90" s="339">
        <v>45</v>
      </c>
      <c r="J90" s="340">
        <v>46</v>
      </c>
      <c r="K90" s="340">
        <v>48</v>
      </c>
      <c r="L90" s="340">
        <v>47</v>
      </c>
      <c r="M90" s="341">
        <v>46</v>
      </c>
      <c r="N90" s="344">
        <f>M90</f>
        <v>46</v>
      </c>
      <c r="P90" s="315" t="s">
        <v>106</v>
      </c>
    </row>
    <row r="91" spans="1:16" outlineLevel="1">
      <c r="B91" s="312"/>
      <c r="C91" s="312"/>
      <c r="D91" s="312"/>
      <c r="E91" s="312"/>
      <c r="F91" s="316"/>
      <c r="G91" s="312"/>
      <c r="H91" s="312"/>
      <c r="I91" s="312"/>
      <c r="J91" s="312"/>
      <c r="K91" s="312"/>
      <c r="L91" s="312"/>
      <c r="M91" s="312"/>
      <c r="N91" s="312"/>
      <c r="P91" s="315"/>
    </row>
    <row r="92" spans="1:16" outlineLevel="1">
      <c r="B92" s="312"/>
      <c r="C92" s="312"/>
      <c r="D92" s="312"/>
      <c r="E92" s="312"/>
      <c r="F92" s="316"/>
      <c r="G92" s="312"/>
      <c r="H92" s="312"/>
      <c r="I92" s="312"/>
      <c r="J92" s="312"/>
      <c r="K92" s="312"/>
      <c r="L92" s="312"/>
      <c r="M92" s="312"/>
      <c r="N92" s="312"/>
      <c r="P92" s="315"/>
    </row>
    <row r="93" spans="1:16" outlineLevel="1">
      <c r="B93" s="317" t="s">
        <v>107</v>
      </c>
      <c r="C93" s="312"/>
      <c r="D93" s="312"/>
      <c r="E93" s="312"/>
      <c r="F93" s="316" t="s">
        <v>103</v>
      </c>
      <c r="G93" s="312"/>
      <c r="H93" s="312"/>
      <c r="I93" s="318">
        <f t="shared" ref="I93:N93" si="13">INDEX(I95:I97,$D$6)</f>
        <v>93</v>
      </c>
      <c r="J93" s="319">
        <f t="shared" si="13"/>
        <v>91</v>
      </c>
      <c r="K93" s="319">
        <f t="shared" si="13"/>
        <v>89</v>
      </c>
      <c r="L93" s="319">
        <f t="shared" si="13"/>
        <v>88</v>
      </c>
      <c r="M93" s="320">
        <f t="shared" si="13"/>
        <v>87</v>
      </c>
      <c r="N93" s="320">
        <f t="shared" si="13"/>
        <v>87</v>
      </c>
      <c r="P93" s="315"/>
    </row>
    <row r="94" spans="1:16">
      <c r="B94" s="312"/>
      <c r="C94" s="312"/>
      <c r="D94" s="312"/>
      <c r="E94" s="312"/>
      <c r="F94" s="316"/>
      <c r="G94" s="312"/>
      <c r="H94" s="312"/>
      <c r="I94" s="312"/>
      <c r="J94" s="312"/>
      <c r="K94" s="312"/>
      <c r="L94" s="312"/>
      <c r="M94" s="312"/>
      <c r="N94" s="312"/>
      <c r="P94" s="315"/>
    </row>
    <row r="95" spans="1:16">
      <c r="B95" s="312" t="s">
        <v>59</v>
      </c>
      <c r="C95" s="312"/>
      <c r="D95" s="312"/>
      <c r="E95" s="312"/>
      <c r="F95" s="316"/>
      <c r="G95" s="312"/>
      <c r="H95" s="312"/>
      <c r="I95" s="132">
        <v>92</v>
      </c>
      <c r="J95" s="133">
        <v>88</v>
      </c>
      <c r="K95" s="133">
        <v>86</v>
      </c>
      <c r="L95" s="133">
        <v>85</v>
      </c>
      <c r="M95" s="134">
        <v>84</v>
      </c>
      <c r="N95" s="233">
        <f>M95</f>
        <v>84</v>
      </c>
      <c r="P95" s="315" t="s">
        <v>108</v>
      </c>
    </row>
    <row r="96" spans="1:16" outlineLevel="1">
      <c r="B96" s="312" t="s">
        <v>61</v>
      </c>
      <c r="C96" s="312"/>
      <c r="D96" s="312"/>
      <c r="E96" s="312"/>
      <c r="F96" s="316"/>
      <c r="G96" s="312"/>
      <c r="H96" s="312"/>
      <c r="I96" s="135">
        <v>93</v>
      </c>
      <c r="J96" s="140">
        <v>91</v>
      </c>
      <c r="K96" s="140">
        <v>89</v>
      </c>
      <c r="L96" s="140">
        <v>88</v>
      </c>
      <c r="M96" s="136">
        <v>87</v>
      </c>
      <c r="N96" s="345">
        <f>M96</f>
        <v>87</v>
      </c>
      <c r="P96" s="315" t="s">
        <v>109</v>
      </c>
    </row>
    <row r="97" spans="1:16" ht="17.399999999999999" outlineLevel="1" thickBot="1">
      <c r="B97" s="312" t="s">
        <v>63</v>
      </c>
      <c r="C97" s="312"/>
      <c r="D97" s="312"/>
      <c r="E97" s="312"/>
      <c r="F97" s="316"/>
      <c r="G97" s="312"/>
      <c r="H97" s="312"/>
      <c r="I97" s="137">
        <v>98</v>
      </c>
      <c r="J97" s="138">
        <v>100</v>
      </c>
      <c r="K97" s="138">
        <v>104</v>
      </c>
      <c r="L97" s="138">
        <v>100</v>
      </c>
      <c r="M97" s="139">
        <v>97</v>
      </c>
      <c r="N97" s="234">
        <f>M97</f>
        <v>97</v>
      </c>
      <c r="P97" s="315" t="s">
        <v>110</v>
      </c>
    </row>
    <row r="98" spans="1:16" ht="17.399999999999999" outlineLevel="1" thickTop="1">
      <c r="B98" s="312"/>
      <c r="C98" s="312"/>
      <c r="D98" s="312"/>
      <c r="E98" s="312"/>
      <c r="F98" s="316"/>
      <c r="G98" s="312"/>
      <c r="H98" s="312"/>
      <c r="I98" s="312"/>
      <c r="J98" s="312"/>
      <c r="K98" s="312"/>
      <c r="L98" s="312"/>
      <c r="M98" s="312"/>
      <c r="N98" s="312"/>
      <c r="P98" s="315"/>
    </row>
    <row r="99" spans="1:16" outlineLevel="1">
      <c r="B99" s="312"/>
      <c r="C99" s="312"/>
      <c r="D99" s="312"/>
      <c r="E99" s="312"/>
      <c r="F99" s="316"/>
      <c r="G99" s="312"/>
      <c r="H99" s="312"/>
      <c r="I99" s="312"/>
      <c r="J99" s="312"/>
      <c r="K99" s="312"/>
      <c r="L99" s="312"/>
      <c r="M99" s="312"/>
      <c r="N99" s="312"/>
      <c r="P99" s="315"/>
    </row>
    <row r="100" spans="1:16" outlineLevel="1">
      <c r="B100" s="317" t="s">
        <v>111</v>
      </c>
      <c r="C100" s="312"/>
      <c r="D100" s="312"/>
      <c r="E100" s="312"/>
      <c r="F100" s="316" t="s">
        <v>103</v>
      </c>
      <c r="G100" s="312"/>
      <c r="H100" s="312"/>
      <c r="I100" s="318">
        <f t="shared" ref="I100:N100" si="14">INDEX(I102:I104,$D$6)</f>
        <v>150</v>
      </c>
      <c r="J100" s="319">
        <f t="shared" si="14"/>
        <v>150</v>
      </c>
      <c r="K100" s="319">
        <f t="shared" si="14"/>
        <v>150</v>
      </c>
      <c r="L100" s="319">
        <f t="shared" si="14"/>
        <v>150</v>
      </c>
      <c r="M100" s="320">
        <f t="shared" si="14"/>
        <v>150</v>
      </c>
      <c r="N100" s="320">
        <f t="shared" si="14"/>
        <v>150</v>
      </c>
      <c r="P100" s="315"/>
    </row>
    <row r="101" spans="1:16" outlineLevel="1">
      <c r="B101" s="312"/>
      <c r="C101" s="312"/>
      <c r="D101" s="312"/>
      <c r="E101" s="312"/>
      <c r="F101" s="316"/>
      <c r="G101" s="312"/>
      <c r="H101" s="312"/>
      <c r="I101" s="312"/>
      <c r="J101" s="312"/>
      <c r="K101" s="312"/>
      <c r="L101" s="312"/>
      <c r="M101" s="312"/>
      <c r="N101" s="312"/>
      <c r="P101" s="315"/>
    </row>
    <row r="102" spans="1:16" outlineLevel="1">
      <c r="B102" s="312" t="s">
        <v>59</v>
      </c>
      <c r="C102" s="312"/>
      <c r="D102" s="312"/>
      <c r="E102" s="312"/>
      <c r="F102" s="316"/>
      <c r="G102" s="312"/>
      <c r="H102" s="312"/>
      <c r="I102" s="132">
        <v>152</v>
      </c>
      <c r="J102" s="133">
        <v>153</v>
      </c>
      <c r="K102" s="133">
        <v>154</v>
      </c>
      <c r="L102" s="133">
        <v>155</v>
      </c>
      <c r="M102" s="134">
        <v>155</v>
      </c>
      <c r="N102" s="233">
        <f>M102</f>
        <v>155</v>
      </c>
      <c r="P102" s="315" t="s">
        <v>112</v>
      </c>
    </row>
    <row r="103" spans="1:16" outlineLevel="1">
      <c r="B103" s="312" t="s">
        <v>61</v>
      </c>
      <c r="C103" s="312"/>
      <c r="D103" s="312"/>
      <c r="E103" s="312"/>
      <c r="F103" s="316"/>
      <c r="G103" s="312"/>
      <c r="H103" s="312"/>
      <c r="I103" s="135">
        <v>150</v>
      </c>
      <c r="J103" s="140">
        <v>150</v>
      </c>
      <c r="K103" s="140">
        <v>150</v>
      </c>
      <c r="L103" s="140">
        <v>150</v>
      </c>
      <c r="M103" s="136">
        <v>150</v>
      </c>
      <c r="N103" s="345">
        <f>M103</f>
        <v>150</v>
      </c>
      <c r="P103" s="315" t="s">
        <v>113</v>
      </c>
    </row>
    <row r="104" spans="1:16" outlineLevel="1">
      <c r="B104" s="312" t="s">
        <v>63</v>
      </c>
      <c r="C104" s="312"/>
      <c r="D104" s="312"/>
      <c r="E104" s="312"/>
      <c r="F104" s="316"/>
      <c r="G104" s="312"/>
      <c r="H104" s="312"/>
      <c r="I104" s="137">
        <v>148</v>
      </c>
      <c r="J104" s="138">
        <v>145</v>
      </c>
      <c r="K104" s="138">
        <v>140</v>
      </c>
      <c r="L104" s="138">
        <v>142</v>
      </c>
      <c r="M104" s="139">
        <v>144</v>
      </c>
      <c r="N104" s="234">
        <f>M104</f>
        <v>144</v>
      </c>
      <c r="P104" s="315" t="s">
        <v>114</v>
      </c>
    </row>
    <row r="105" spans="1:16" outlineLevel="1">
      <c r="F105" s="68"/>
      <c r="P105" s="315"/>
    </row>
    <row r="106" spans="1:16">
      <c r="F106" s="68"/>
      <c r="P106" s="315"/>
    </row>
    <row r="107" spans="1:16">
      <c r="B107" s="36" t="s">
        <v>115</v>
      </c>
      <c r="F107" s="68" t="s">
        <v>103</v>
      </c>
      <c r="I107" s="132">
        <v>2</v>
      </c>
      <c r="J107" s="133">
        <v>2</v>
      </c>
      <c r="K107" s="133">
        <v>2</v>
      </c>
      <c r="L107" s="133">
        <v>2</v>
      </c>
      <c r="M107" s="134">
        <v>2</v>
      </c>
      <c r="N107" s="233">
        <f>M107</f>
        <v>2</v>
      </c>
      <c r="P107" s="315" t="s">
        <v>116</v>
      </c>
    </row>
    <row r="108" spans="1:16" outlineLevel="1">
      <c r="B108" s="36" t="s">
        <v>117</v>
      </c>
      <c r="F108" s="68" t="s">
        <v>103</v>
      </c>
      <c r="I108" s="137">
        <v>40</v>
      </c>
      <c r="J108" s="138">
        <v>40</v>
      </c>
      <c r="K108" s="138">
        <v>40</v>
      </c>
      <c r="L108" s="138">
        <v>41</v>
      </c>
      <c r="M108" s="139">
        <v>41</v>
      </c>
      <c r="N108" s="234">
        <f>M108</f>
        <v>41</v>
      </c>
      <c r="P108" s="315" t="s">
        <v>118</v>
      </c>
    </row>
    <row r="109" spans="1:16" ht="17.399999999999999" outlineLevel="1" thickBot="1">
      <c r="B109" s="67"/>
      <c r="C109" s="67"/>
      <c r="D109" s="67"/>
      <c r="E109" s="67"/>
      <c r="F109" s="69"/>
      <c r="G109" s="67"/>
      <c r="H109" s="67"/>
      <c r="I109" s="67"/>
      <c r="J109" s="67"/>
      <c r="K109" s="67"/>
      <c r="L109" s="67"/>
      <c r="M109" s="67"/>
      <c r="N109" s="67"/>
      <c r="P109" s="315"/>
    </row>
    <row r="110" spans="1:16" ht="17.399999999999999" outlineLevel="1" thickTop="1">
      <c r="F110" s="68"/>
      <c r="P110" s="315"/>
    </row>
    <row r="111" spans="1:16" outlineLevel="1">
      <c r="A111" s="122" t="s">
        <v>26</v>
      </c>
      <c r="B111" s="18" t="s">
        <v>119</v>
      </c>
      <c r="C111" s="18"/>
      <c r="D111" s="18"/>
      <c r="E111" s="18"/>
      <c r="F111" s="70"/>
      <c r="G111" s="18"/>
      <c r="H111" s="18"/>
      <c r="I111" s="18"/>
      <c r="J111" s="18"/>
      <c r="K111" s="18"/>
      <c r="L111" s="18"/>
      <c r="M111" s="18"/>
      <c r="N111" s="18"/>
      <c r="P111" s="315"/>
    </row>
    <row r="112" spans="1:16" outlineLevel="1">
      <c r="F112" s="68"/>
      <c r="P112" s="315"/>
    </row>
    <row r="113" spans="2:16" ht="17.399999999999999" customHeight="1" outlineLevel="1">
      <c r="B113" s="107" t="s">
        <v>57</v>
      </c>
      <c r="F113" s="68"/>
      <c r="I113" s="65">
        <f t="shared" ref="I113:N113" si="15">I$2</f>
        <v>2026</v>
      </c>
      <c r="J113" s="65">
        <f t="shared" si="15"/>
        <v>2027</v>
      </c>
      <c r="K113" s="65">
        <f t="shared" si="15"/>
        <v>2028</v>
      </c>
      <c r="L113" s="65">
        <f t="shared" si="15"/>
        <v>2029</v>
      </c>
      <c r="M113" s="65">
        <f t="shared" si="15"/>
        <v>2030</v>
      </c>
      <c r="N113" s="65" t="str">
        <f t="shared" si="15"/>
        <v>Term</v>
      </c>
      <c r="P113" s="315"/>
    </row>
    <row r="114" spans="2:16" ht="17.399999999999999" customHeight="1" outlineLevel="1">
      <c r="F114" s="68"/>
      <c r="P114" s="315"/>
    </row>
    <row r="115" spans="2:16" outlineLevel="1">
      <c r="F115" s="68"/>
      <c r="P115" s="315"/>
    </row>
    <row r="116" spans="2:16" outlineLevel="1">
      <c r="B116" s="317" t="s">
        <v>120</v>
      </c>
      <c r="F116" s="68" t="s">
        <v>121</v>
      </c>
      <c r="I116" s="347">
        <f>INDEX(I118:I120,$D$6)</f>
        <v>4.9000000000000002E-2</v>
      </c>
      <c r="J116" s="348">
        <f t="shared" ref="J116:N116" si="16">INDEX(J118:J120,$D$6)</f>
        <v>4.8000000000000001E-2</v>
      </c>
      <c r="K116" s="348">
        <f t="shared" si="16"/>
        <v>4.8000000000000001E-2</v>
      </c>
      <c r="L116" s="348">
        <f t="shared" si="16"/>
        <v>4.7E-2</v>
      </c>
      <c r="M116" s="349">
        <f t="shared" si="16"/>
        <v>4.7E-2</v>
      </c>
      <c r="N116" s="349">
        <f t="shared" si="16"/>
        <v>4.2219177676514348E-2</v>
      </c>
      <c r="P116" s="315"/>
    </row>
    <row r="117" spans="2:16" outlineLevel="1">
      <c r="B117" s="312"/>
      <c r="F117" s="68"/>
      <c r="P117" s="315"/>
    </row>
    <row r="118" spans="2:16">
      <c r="B118" s="312" t="s">
        <v>59</v>
      </c>
      <c r="F118" s="68"/>
      <c r="I118" s="219">
        <v>4.5999999999999999E-2</v>
      </c>
      <c r="J118" s="220">
        <v>4.4999999999999998E-2</v>
      </c>
      <c r="K118" s="220">
        <v>4.3999999999999997E-2</v>
      </c>
      <c r="L118" s="220">
        <v>4.3999999999999997E-2</v>
      </c>
      <c r="M118" s="221">
        <v>4.3999999999999997E-2</v>
      </c>
      <c r="N118" s="228">
        <f>($N$124+$N$10)*(Model!$M$83+Model!$M$84)/Model!$N$440-$N$123</f>
        <v>4.2219177676514348E-2</v>
      </c>
      <c r="P118" s="315" t="s">
        <v>122</v>
      </c>
    </row>
    <row r="119" spans="2:16">
      <c r="B119" s="312" t="s">
        <v>61</v>
      </c>
      <c r="F119" s="68"/>
      <c r="I119" s="222">
        <v>4.9000000000000002E-2</v>
      </c>
      <c r="J119" s="223">
        <v>4.8000000000000001E-2</v>
      </c>
      <c r="K119" s="223">
        <v>4.8000000000000001E-2</v>
      </c>
      <c r="L119" s="223">
        <v>4.7E-2</v>
      </c>
      <c r="M119" s="224">
        <v>4.7E-2</v>
      </c>
      <c r="N119" s="229">
        <f>($N$124+$N$10)*(Model!$M$83+Model!$M$84)/Model!$N$440-$N$123</f>
        <v>4.2219177676514348E-2</v>
      </c>
      <c r="P119" s="315" t="s">
        <v>123</v>
      </c>
    </row>
    <row r="120" spans="2:16" outlineLevel="1">
      <c r="B120" s="312" t="s">
        <v>63</v>
      </c>
      <c r="F120" s="68"/>
      <c r="I120" s="225">
        <v>0.05</v>
      </c>
      <c r="J120" s="226">
        <v>0.05</v>
      </c>
      <c r="K120" s="226">
        <v>5.2999999999999999E-2</v>
      </c>
      <c r="L120" s="226">
        <v>5.1999999999999998E-2</v>
      </c>
      <c r="M120" s="227">
        <v>0.05</v>
      </c>
      <c r="N120" s="230">
        <f>($N$124+$N$10)*(Model!$M$83+Model!$M$84)/Model!$N$440-$N$123</f>
        <v>4.2219177676514348E-2</v>
      </c>
      <c r="P120" s="315" t="s">
        <v>124</v>
      </c>
    </row>
    <row r="121" spans="2:16" ht="17.399999999999999" outlineLevel="1" thickBot="1">
      <c r="F121" s="68"/>
      <c r="P121" s="315"/>
    </row>
    <row r="122" spans="2:16" ht="17.399999999999999" outlineLevel="1" thickTop="1">
      <c r="F122" s="68"/>
      <c r="G122" s="68"/>
      <c r="H122" s="68"/>
      <c r="I122" s="68"/>
      <c r="J122" s="68"/>
      <c r="K122" s="68"/>
      <c r="L122" s="68"/>
      <c r="M122" s="68"/>
      <c r="N122" s="68"/>
      <c r="P122" s="315"/>
    </row>
    <row r="123" spans="2:16" outlineLevel="1">
      <c r="B123" s="36" t="s">
        <v>125</v>
      </c>
      <c r="F123" s="68" t="s">
        <v>121</v>
      </c>
      <c r="I123" s="219">
        <v>4.0000000000000001E-3</v>
      </c>
      <c r="J123" s="220">
        <v>4.0000000000000001E-3</v>
      </c>
      <c r="K123" s="220">
        <v>4.0000000000000001E-3</v>
      </c>
      <c r="L123" s="220">
        <v>4.4999999999999997E-3</v>
      </c>
      <c r="M123" s="221">
        <v>4.4999999999999997E-3</v>
      </c>
      <c r="N123" s="228">
        <f>M123</f>
        <v>4.4999999999999997E-3</v>
      </c>
      <c r="P123" s="315" t="s">
        <v>126</v>
      </c>
    </row>
    <row r="124" spans="2:16" outlineLevel="1">
      <c r="B124" s="36" t="s">
        <v>127</v>
      </c>
      <c r="F124" s="68" t="s">
        <v>128</v>
      </c>
      <c r="I124" s="222">
        <v>7.0000000000000007E-2</v>
      </c>
      <c r="J124" s="223">
        <v>6.9000000000000006E-2</v>
      </c>
      <c r="K124" s="223">
        <v>6.8000000000000005E-2</v>
      </c>
      <c r="L124" s="223">
        <v>6.7000000000000004E-2</v>
      </c>
      <c r="M124" s="224">
        <v>6.7000000000000004E-2</v>
      </c>
      <c r="N124" s="229">
        <f>M124</f>
        <v>6.7000000000000004E-2</v>
      </c>
      <c r="P124" s="315" t="s">
        <v>129</v>
      </c>
    </row>
    <row r="125" spans="2:16" outlineLevel="1">
      <c r="B125" s="36" t="s">
        <v>130</v>
      </c>
      <c r="F125" s="68"/>
      <c r="I125" s="225">
        <v>0.85</v>
      </c>
      <c r="J125" s="226">
        <v>0.85</v>
      </c>
      <c r="K125" s="226">
        <v>0.85</v>
      </c>
      <c r="L125" s="226">
        <v>0.85</v>
      </c>
      <c r="M125" s="227">
        <v>0.85</v>
      </c>
      <c r="N125" s="230">
        <f>M125</f>
        <v>0.85</v>
      </c>
      <c r="P125" s="315" t="s">
        <v>131</v>
      </c>
    </row>
    <row r="126" spans="2:16" outlineLevel="1">
      <c r="F126" s="68"/>
      <c r="G126" s="68"/>
      <c r="H126" s="68"/>
      <c r="P126" s="315"/>
    </row>
    <row r="127" spans="2:16" outlineLevel="1">
      <c r="B127" s="67"/>
      <c r="C127" s="67"/>
      <c r="D127" s="67"/>
      <c r="E127" s="67"/>
      <c r="F127" s="69"/>
      <c r="G127" s="67"/>
      <c r="H127" s="67"/>
      <c r="I127" s="67"/>
      <c r="J127" s="67"/>
      <c r="K127" s="67"/>
      <c r="L127" s="67"/>
      <c r="M127" s="67"/>
      <c r="N127" s="67"/>
      <c r="P127" s="315"/>
    </row>
    <row r="128" spans="2:16" outlineLevel="1">
      <c r="F128" s="68"/>
      <c r="P128" s="315"/>
    </row>
    <row r="129" spans="1:16" outlineLevel="1">
      <c r="A129" s="122" t="s">
        <v>26</v>
      </c>
      <c r="B129" s="18" t="s">
        <v>132</v>
      </c>
      <c r="C129" s="18"/>
      <c r="D129" s="18"/>
      <c r="E129" s="18"/>
      <c r="F129" s="70"/>
      <c r="G129" s="18"/>
      <c r="H129" s="18"/>
      <c r="I129" s="18"/>
      <c r="J129" s="18"/>
      <c r="K129" s="18"/>
      <c r="L129" s="18"/>
      <c r="M129" s="18"/>
      <c r="N129" s="18"/>
      <c r="P129" s="315"/>
    </row>
    <row r="130" spans="1:16">
      <c r="F130" s="68"/>
      <c r="P130" s="315"/>
    </row>
    <row r="131" spans="1:16" ht="17.399999999999999" customHeight="1">
      <c r="B131" s="107" t="s">
        <v>57</v>
      </c>
      <c r="F131" s="68"/>
      <c r="I131" s="65">
        <f t="shared" ref="I131:N131" si="17">I$2</f>
        <v>2026</v>
      </c>
      <c r="J131" s="65">
        <f t="shared" si="17"/>
        <v>2027</v>
      </c>
      <c r="K131" s="65">
        <f t="shared" si="17"/>
        <v>2028</v>
      </c>
      <c r="L131" s="65">
        <f t="shared" si="17"/>
        <v>2029</v>
      </c>
      <c r="M131" s="65">
        <f t="shared" si="17"/>
        <v>2030</v>
      </c>
      <c r="N131" s="65" t="str">
        <f t="shared" si="17"/>
        <v>Term</v>
      </c>
      <c r="P131" s="315"/>
    </row>
    <row r="132" spans="1:16" ht="17.399999999999999" customHeight="1" outlineLevel="1">
      <c r="F132" s="68"/>
      <c r="P132" s="315"/>
    </row>
    <row r="133" spans="1:16" ht="17.399999999999999" outlineLevel="1" thickBot="1">
      <c r="F133" s="68"/>
      <c r="P133" s="315"/>
    </row>
    <row r="134" spans="1:16" ht="17.399999999999999" outlineLevel="1" thickTop="1">
      <c r="B134" s="73" t="s">
        <v>133</v>
      </c>
      <c r="F134" s="68" t="s">
        <v>134</v>
      </c>
      <c r="I134" s="347">
        <f t="shared" ref="I134:N134" si="18">INDEX(I136:I138,$D$6)</f>
        <v>0.86499999999999999</v>
      </c>
      <c r="J134" s="348">
        <f t="shared" si="18"/>
        <v>0.84199999999999997</v>
      </c>
      <c r="K134" s="348">
        <f t="shared" si="18"/>
        <v>0.85899999999999999</v>
      </c>
      <c r="L134" s="348">
        <f t="shared" si="18"/>
        <v>0.82299999999999995</v>
      </c>
      <c r="M134" s="349">
        <f t="shared" si="18"/>
        <v>0.79</v>
      </c>
      <c r="N134" s="349">
        <f t="shared" si="18"/>
        <v>0.79</v>
      </c>
      <c r="P134" s="315"/>
    </row>
    <row r="135" spans="1:16" outlineLevel="1">
      <c r="F135" s="68"/>
      <c r="P135" s="315"/>
    </row>
    <row r="136" spans="1:16" outlineLevel="1">
      <c r="B136" s="312" t="s">
        <v>59</v>
      </c>
      <c r="F136" s="68"/>
      <c r="I136" s="219">
        <v>0.80600000000000005</v>
      </c>
      <c r="J136" s="220">
        <v>0.751</v>
      </c>
      <c r="K136" s="220">
        <v>0.69699999999999995</v>
      </c>
      <c r="L136" s="220">
        <v>0.64700000000000002</v>
      </c>
      <c r="M136" s="221">
        <v>0.60199999999999998</v>
      </c>
      <c r="N136" s="228">
        <f>M136</f>
        <v>0.60199999999999998</v>
      </c>
      <c r="P136" s="315" t="s">
        <v>135</v>
      </c>
    </row>
    <row r="137" spans="1:16" outlineLevel="1">
      <c r="B137" s="312" t="s">
        <v>61</v>
      </c>
      <c r="F137" s="68"/>
      <c r="I137" s="222">
        <v>0.86499999999999999</v>
      </c>
      <c r="J137" s="223">
        <v>0.84199999999999997</v>
      </c>
      <c r="K137" s="223">
        <v>0.85899999999999999</v>
      </c>
      <c r="L137" s="223">
        <v>0.82299999999999995</v>
      </c>
      <c r="M137" s="224">
        <v>0.79</v>
      </c>
      <c r="N137" s="229">
        <f>M137</f>
        <v>0.79</v>
      </c>
      <c r="P137" s="315" t="s">
        <v>136</v>
      </c>
    </row>
    <row r="138" spans="1:16" outlineLevel="1">
      <c r="B138" s="312" t="s">
        <v>63</v>
      </c>
      <c r="F138" s="68"/>
      <c r="I138" s="225">
        <v>0.98199999999999998</v>
      </c>
      <c r="J138" s="226">
        <v>0.7</v>
      </c>
      <c r="K138" s="226">
        <v>0.7</v>
      </c>
      <c r="L138" s="226">
        <v>0.7</v>
      </c>
      <c r="M138" s="227">
        <v>0.7</v>
      </c>
      <c r="N138" s="230">
        <f>M138</f>
        <v>0.7</v>
      </c>
      <c r="P138" s="315" t="s">
        <v>137</v>
      </c>
    </row>
    <row r="139" spans="1:16" outlineLevel="1">
      <c r="B139" s="312"/>
      <c r="F139" s="68"/>
      <c r="P139" s="315"/>
    </row>
    <row r="140" spans="1:16" outlineLevel="1">
      <c r="B140" s="312"/>
      <c r="F140" s="68"/>
      <c r="G140" s="68"/>
      <c r="H140" s="68"/>
      <c r="I140" s="68"/>
      <c r="J140" s="68"/>
      <c r="K140" s="68"/>
      <c r="L140" s="68"/>
      <c r="M140" s="68"/>
      <c r="N140" s="68"/>
      <c r="P140" s="315"/>
    </row>
    <row r="141" spans="1:16" outlineLevel="1">
      <c r="B141" s="317" t="s">
        <v>138</v>
      </c>
      <c r="F141" s="68"/>
      <c r="I141" s="318">
        <f t="shared" ref="I141:N141" si="19">INDEX(I143:I145,$D$6)</f>
        <v>0</v>
      </c>
      <c r="J141" s="319">
        <f t="shared" si="19"/>
        <v>0</v>
      </c>
      <c r="K141" s="319">
        <f t="shared" si="19"/>
        <v>1000</v>
      </c>
      <c r="L141" s="319">
        <f t="shared" si="19"/>
        <v>1500</v>
      </c>
      <c r="M141" s="320">
        <f t="shared" si="19"/>
        <v>2000</v>
      </c>
      <c r="N141" s="320">
        <f t="shared" si="19"/>
        <v>2000</v>
      </c>
      <c r="P141" s="315"/>
    </row>
    <row r="142" spans="1:16" outlineLevel="1">
      <c r="B142" s="312"/>
      <c r="F142" s="68"/>
      <c r="P142" s="315"/>
    </row>
    <row r="143" spans="1:16" outlineLevel="1">
      <c r="B143" s="312" t="s">
        <v>59</v>
      </c>
      <c r="F143" s="68"/>
      <c r="I143" s="321">
        <v>0</v>
      </c>
      <c r="J143" s="322">
        <v>1000</v>
      </c>
      <c r="K143" s="322">
        <v>2500</v>
      </c>
      <c r="L143" s="322">
        <v>3500</v>
      </c>
      <c r="M143" s="323">
        <v>4000</v>
      </c>
      <c r="N143" s="324">
        <f>M143</f>
        <v>4000</v>
      </c>
      <c r="P143" s="315" t="s">
        <v>139</v>
      </c>
    </row>
    <row r="144" spans="1:16" ht="17.399999999999999" outlineLevel="1" thickBot="1">
      <c r="B144" s="312" t="s">
        <v>61</v>
      </c>
      <c r="F144" s="68"/>
      <c r="I144" s="325">
        <v>0</v>
      </c>
      <c r="J144" s="239">
        <v>0</v>
      </c>
      <c r="K144" s="239">
        <v>1000</v>
      </c>
      <c r="L144" s="239">
        <v>1500</v>
      </c>
      <c r="M144" s="326">
        <v>2000</v>
      </c>
      <c r="N144" s="327">
        <f>M144</f>
        <v>2000</v>
      </c>
      <c r="P144" s="315" t="s">
        <v>140</v>
      </c>
    </row>
    <row r="145" spans="1:16" ht="17.399999999999999" outlineLevel="1" thickTop="1">
      <c r="B145" s="312" t="s">
        <v>63</v>
      </c>
      <c r="F145" s="68"/>
      <c r="I145" s="328">
        <v>0</v>
      </c>
      <c r="J145" s="329">
        <v>0</v>
      </c>
      <c r="K145" s="329">
        <v>0</v>
      </c>
      <c r="L145" s="329">
        <v>0</v>
      </c>
      <c r="M145" s="330">
        <v>0</v>
      </c>
      <c r="N145" s="331">
        <f>M145</f>
        <v>0</v>
      </c>
      <c r="P145" s="315" t="s">
        <v>141</v>
      </c>
    </row>
    <row r="146" spans="1:16" outlineLevel="1">
      <c r="B146" s="312"/>
      <c r="F146" s="68"/>
      <c r="P146" s="315"/>
    </row>
    <row r="147" spans="1:16" outlineLevel="1">
      <c r="B147" s="312"/>
      <c r="F147" s="68"/>
      <c r="G147" s="68"/>
      <c r="H147" s="68"/>
      <c r="I147" s="68"/>
      <c r="J147" s="68"/>
      <c r="K147" s="68"/>
      <c r="L147" s="68"/>
      <c r="M147" s="68"/>
      <c r="N147" s="68"/>
      <c r="P147" s="315"/>
    </row>
    <row r="148" spans="1:16" outlineLevel="1">
      <c r="B148" s="317" t="s">
        <v>142</v>
      </c>
      <c r="F148" s="68" t="s">
        <v>128</v>
      </c>
      <c r="I148" s="347">
        <f t="shared" ref="I148:N148" si="20">INDEX(I150:I152,$D$6)</f>
        <v>6.5000000000000002E-2</v>
      </c>
      <c r="J148" s="348">
        <f t="shared" si="20"/>
        <v>0.06</v>
      </c>
      <c r="K148" s="348">
        <f t="shared" si="20"/>
        <v>0.06</v>
      </c>
      <c r="L148" s="348">
        <f t="shared" si="20"/>
        <v>0.06</v>
      </c>
      <c r="M148" s="349">
        <f t="shared" si="20"/>
        <v>0.06</v>
      </c>
      <c r="N148" s="349">
        <f t="shared" si="20"/>
        <v>0.06</v>
      </c>
      <c r="P148" s="315"/>
    </row>
    <row r="149" spans="1:16" outlineLevel="1">
      <c r="B149" s="312"/>
      <c r="F149" s="68"/>
      <c r="P149" s="315"/>
    </row>
    <row r="150" spans="1:16" outlineLevel="1">
      <c r="B150" s="312" t="s">
        <v>59</v>
      </c>
      <c r="F150" s="68"/>
      <c r="I150" s="219">
        <v>6.5000000000000002E-2</v>
      </c>
      <c r="J150" s="220">
        <v>6.5000000000000002E-2</v>
      </c>
      <c r="K150" s="220">
        <v>6.5000000000000002E-2</v>
      </c>
      <c r="L150" s="220">
        <v>6.5000000000000002E-2</v>
      </c>
      <c r="M150" s="221">
        <v>6.5000000000000002E-2</v>
      </c>
      <c r="N150" s="228">
        <f>M150</f>
        <v>6.5000000000000002E-2</v>
      </c>
      <c r="P150" s="315" t="s">
        <v>143</v>
      </c>
    </row>
    <row r="151" spans="1:16" outlineLevel="1">
      <c r="B151" s="312" t="s">
        <v>61</v>
      </c>
      <c r="F151" s="68"/>
      <c r="I151" s="222">
        <v>6.5000000000000002E-2</v>
      </c>
      <c r="J151" s="223">
        <v>0.06</v>
      </c>
      <c r="K151" s="223">
        <v>0.06</v>
      </c>
      <c r="L151" s="223">
        <v>0.06</v>
      </c>
      <c r="M151" s="224">
        <v>0.06</v>
      </c>
      <c r="N151" s="229">
        <f>M151</f>
        <v>0.06</v>
      </c>
      <c r="P151" s="315" t="s">
        <v>144</v>
      </c>
    </row>
    <row r="152" spans="1:16" ht="17.399999999999999" outlineLevel="1" thickBot="1">
      <c r="B152" s="312" t="s">
        <v>63</v>
      </c>
      <c r="F152" s="68"/>
      <c r="I152" s="225">
        <v>0.06</v>
      </c>
      <c r="J152" s="226">
        <v>0.05</v>
      </c>
      <c r="K152" s="226">
        <v>4.4999999999999998E-2</v>
      </c>
      <c r="L152" s="226">
        <v>4.4999999999999998E-2</v>
      </c>
      <c r="M152" s="227">
        <v>0.05</v>
      </c>
      <c r="N152" s="230">
        <f>M152</f>
        <v>0.05</v>
      </c>
      <c r="P152" s="315" t="s">
        <v>145</v>
      </c>
    </row>
    <row r="153" spans="1:16" ht="17.399999999999999" outlineLevel="1" thickTop="1">
      <c r="B153" s="312"/>
      <c r="F153" s="68"/>
      <c r="P153" s="315"/>
    </row>
    <row r="154" spans="1:16" outlineLevel="1">
      <c r="F154" s="68"/>
      <c r="P154" s="315"/>
    </row>
    <row r="155" spans="1:16" outlineLevel="1">
      <c r="B155" s="36" t="s">
        <v>146</v>
      </c>
      <c r="F155" s="68" t="s">
        <v>147</v>
      </c>
      <c r="I155" s="235">
        <v>0.75</v>
      </c>
      <c r="J155" s="236">
        <v>0.75</v>
      </c>
      <c r="K155" s="236">
        <v>0.75</v>
      </c>
      <c r="L155" s="236">
        <v>0.75</v>
      </c>
      <c r="M155" s="237">
        <v>0.75</v>
      </c>
      <c r="N155" s="238">
        <f>M155</f>
        <v>0.75</v>
      </c>
      <c r="P155" s="315" t="s">
        <v>148</v>
      </c>
    </row>
    <row r="156" spans="1:16" outlineLevel="1">
      <c r="F156" s="68"/>
      <c r="P156" s="315"/>
    </row>
    <row r="157" spans="1:16" outlineLevel="1">
      <c r="B157" s="67"/>
      <c r="C157" s="67"/>
      <c r="D157" s="67"/>
      <c r="E157" s="67"/>
      <c r="F157" s="69"/>
      <c r="G157" s="67"/>
      <c r="H157" s="67"/>
      <c r="I157" s="67"/>
      <c r="J157" s="67"/>
      <c r="K157" s="67"/>
      <c r="L157" s="67"/>
      <c r="M157" s="67"/>
      <c r="N157" s="67"/>
      <c r="P157" s="315"/>
    </row>
    <row r="158" spans="1:16">
      <c r="F158" s="68"/>
      <c r="P158" s="315"/>
    </row>
    <row r="159" spans="1:16">
      <c r="A159" s="122" t="s">
        <v>26</v>
      </c>
      <c r="B159" s="18" t="s">
        <v>149</v>
      </c>
      <c r="C159" s="18"/>
      <c r="D159" s="18"/>
      <c r="E159" s="18"/>
      <c r="F159" s="70"/>
      <c r="G159" s="18"/>
      <c r="H159" s="18"/>
      <c r="I159" s="18"/>
      <c r="J159" s="18"/>
      <c r="K159" s="18"/>
      <c r="L159" s="18"/>
      <c r="M159" s="18"/>
      <c r="N159" s="18"/>
      <c r="P159" s="315"/>
    </row>
    <row r="160" spans="1:16" outlineLevel="1">
      <c r="F160" s="68"/>
      <c r="P160" s="315"/>
    </row>
    <row r="161" spans="2:16" ht="17.399999999999999" customHeight="1" outlineLevel="1">
      <c r="B161" s="107" t="s">
        <v>57</v>
      </c>
      <c r="F161" s="68"/>
      <c r="I161" s="65">
        <f t="shared" ref="I161:N161" si="21">I$2</f>
        <v>2026</v>
      </c>
      <c r="J161" s="65">
        <f t="shared" si="21"/>
        <v>2027</v>
      </c>
      <c r="K161" s="65">
        <f t="shared" si="21"/>
        <v>2028</v>
      </c>
      <c r="L161" s="65">
        <f t="shared" si="21"/>
        <v>2029</v>
      </c>
      <c r="M161" s="65">
        <f t="shared" si="21"/>
        <v>2030</v>
      </c>
      <c r="N161" s="65" t="str">
        <f t="shared" si="21"/>
        <v>Term</v>
      </c>
      <c r="P161" s="315"/>
    </row>
    <row r="162" spans="2:16" ht="17.399999999999999" customHeight="1" outlineLevel="1">
      <c r="F162" s="68"/>
      <c r="P162" s="315"/>
    </row>
    <row r="163" spans="2:16" outlineLevel="1">
      <c r="F163" s="68"/>
      <c r="P163" s="315"/>
    </row>
    <row r="164" spans="2:16" outlineLevel="1">
      <c r="B164" s="73" t="s">
        <v>150</v>
      </c>
      <c r="F164" s="68"/>
      <c r="P164" s="315"/>
    </row>
    <row r="165" spans="2:16" outlineLevel="1">
      <c r="F165" s="68"/>
      <c r="P165" s="315"/>
    </row>
    <row r="166" spans="2:16" outlineLevel="1">
      <c r="B166" s="36" t="s">
        <v>151</v>
      </c>
      <c r="F166" s="68" t="s">
        <v>152</v>
      </c>
      <c r="I166" s="219">
        <v>-0.02</v>
      </c>
      <c r="J166" s="220">
        <v>-0.01</v>
      </c>
      <c r="K166" s="220">
        <v>0</v>
      </c>
      <c r="L166" s="220">
        <v>0.01</v>
      </c>
      <c r="M166" s="221">
        <v>0.01</v>
      </c>
      <c r="N166" s="228">
        <f>M166</f>
        <v>0.01</v>
      </c>
      <c r="P166" s="315" t="s">
        <v>153</v>
      </c>
    </row>
    <row r="167" spans="2:16" outlineLevel="1">
      <c r="B167" s="36" t="s">
        <v>154</v>
      </c>
      <c r="F167" s="68" t="s">
        <v>155</v>
      </c>
      <c r="I167" s="222">
        <v>0.2</v>
      </c>
      <c r="J167" s="223">
        <v>0.2</v>
      </c>
      <c r="K167" s="223">
        <v>0.2</v>
      </c>
      <c r="L167" s="223">
        <v>0.2</v>
      </c>
      <c r="M167" s="224">
        <v>0.2</v>
      </c>
      <c r="N167" s="229">
        <f>M167</f>
        <v>0.2</v>
      </c>
      <c r="P167" s="315" t="s">
        <v>156</v>
      </c>
    </row>
    <row r="168" spans="2:16" outlineLevel="1">
      <c r="B168" s="312" t="s">
        <v>157</v>
      </c>
      <c r="C168" s="312"/>
      <c r="D168" s="312"/>
      <c r="E168" s="312"/>
      <c r="F168" s="316" t="s">
        <v>158</v>
      </c>
      <c r="I168" s="225">
        <v>0.35</v>
      </c>
      <c r="J168" s="226">
        <v>0.35</v>
      </c>
      <c r="K168" s="226">
        <v>0.35</v>
      </c>
      <c r="L168" s="226">
        <v>0.35</v>
      </c>
      <c r="M168" s="227">
        <v>0.35</v>
      </c>
      <c r="N168" s="227">
        <v>0</v>
      </c>
      <c r="P168" s="315" t="s">
        <v>159</v>
      </c>
    </row>
    <row r="169" spans="2:16" outlineLevel="1">
      <c r="P169" s="315"/>
    </row>
    <row r="170" spans="2:16" outlineLevel="1">
      <c r="P170" s="315"/>
    </row>
    <row r="171" spans="2:16" outlineLevel="1">
      <c r="P171" s="315"/>
    </row>
    <row r="172" spans="2:16" ht="17.399999999999999" customHeight="1" outlineLevel="1">
      <c r="C172" s="71" t="s">
        <v>160</v>
      </c>
      <c r="D172" s="72"/>
      <c r="E172" s="72"/>
      <c r="F172" s="72"/>
      <c r="I172" s="71" t="s">
        <v>161</v>
      </c>
      <c r="J172" s="72"/>
      <c r="K172" s="72"/>
      <c r="L172" s="72"/>
      <c r="M172" s="71"/>
      <c r="N172" s="71"/>
      <c r="P172" s="315"/>
    </row>
    <row r="173" spans="2:16" ht="17.399999999999999" customHeight="1" outlineLevel="1">
      <c r="C173" s="36" t="s">
        <v>162</v>
      </c>
      <c r="E173" s="64" t="s">
        <v>163</v>
      </c>
      <c r="F173" s="140">
        <v>2026</v>
      </c>
      <c r="I173" s="36" t="s">
        <v>164</v>
      </c>
      <c r="M173" s="223">
        <v>0.23499999999999999</v>
      </c>
      <c r="P173" s="315" t="s">
        <v>165</v>
      </c>
    </row>
    <row r="174" spans="2:16" outlineLevel="1">
      <c r="C174" s="36" t="s">
        <v>166</v>
      </c>
      <c r="E174" s="316" t="s">
        <v>103</v>
      </c>
      <c r="F174" s="140">
        <v>365</v>
      </c>
      <c r="I174" s="36" t="s">
        <v>167</v>
      </c>
      <c r="M174" s="223">
        <v>0.15</v>
      </c>
      <c r="P174" s="315" t="s">
        <v>168</v>
      </c>
    </row>
    <row r="175" spans="2:16" outlineLevel="1">
      <c r="I175" s="36" t="s">
        <v>169</v>
      </c>
      <c r="M175" s="223">
        <v>0.08</v>
      </c>
      <c r="P175" s="315" t="s">
        <v>170</v>
      </c>
    </row>
    <row r="176" spans="2:16" outlineLevel="1">
      <c r="I176" s="36" t="s">
        <v>171</v>
      </c>
      <c r="M176" s="239">
        <v>49222</v>
      </c>
      <c r="P176" s="315" t="s">
        <v>172</v>
      </c>
    </row>
    <row r="177" spans="1:16" outlineLevel="1">
      <c r="I177" s="36" t="s">
        <v>173</v>
      </c>
      <c r="M177" s="239">
        <v>0</v>
      </c>
      <c r="P177" s="315" t="s">
        <v>174</v>
      </c>
    </row>
    <row r="178" spans="1:16" outlineLevel="1">
      <c r="P178" s="315"/>
    </row>
    <row r="179" spans="1:16" outlineLevel="1">
      <c r="P179" s="315"/>
    </row>
    <row r="180" spans="1:16" ht="17.399999999999999" customHeight="1" outlineLevel="1">
      <c r="C180" s="71" t="s">
        <v>175</v>
      </c>
      <c r="D180" s="72"/>
      <c r="E180" s="72"/>
      <c r="F180" s="72"/>
      <c r="I180" s="71" t="s">
        <v>176</v>
      </c>
      <c r="J180" s="72"/>
      <c r="K180" s="72"/>
      <c r="L180" s="72"/>
      <c r="M180" s="71"/>
      <c r="N180" s="71"/>
      <c r="P180" s="315"/>
    </row>
    <row r="181" spans="1:16" ht="17.399999999999999" customHeight="1" outlineLevel="1">
      <c r="F181" s="240"/>
      <c r="I181" s="36" t="s">
        <v>177</v>
      </c>
      <c r="M181" s="223">
        <v>2.5000000000000001E-2</v>
      </c>
      <c r="P181" s="315" t="s">
        <v>178</v>
      </c>
    </row>
    <row r="182" spans="1:16" outlineLevel="1">
      <c r="C182" s="36" t="s">
        <v>179</v>
      </c>
      <c r="F182" s="223">
        <v>2.5000000000000001E-2</v>
      </c>
      <c r="I182" s="36" t="s">
        <v>151</v>
      </c>
      <c r="M182" s="223">
        <v>2.9000000000000001E-2</v>
      </c>
      <c r="P182" s="315" t="s">
        <v>180</v>
      </c>
    </row>
    <row r="183" spans="1:16" outlineLevel="1">
      <c r="C183" s="312" t="s">
        <v>181</v>
      </c>
      <c r="F183" s="223">
        <v>1.7999999999999999E-2</v>
      </c>
      <c r="I183" s="36" t="s">
        <v>182</v>
      </c>
      <c r="M183" s="223">
        <v>4.2000000000000003E-2</v>
      </c>
      <c r="P183" s="315" t="s">
        <v>183</v>
      </c>
    </row>
    <row r="184" spans="1:16">
      <c r="C184" s="312" t="s">
        <v>184</v>
      </c>
      <c r="F184" s="239">
        <v>3000</v>
      </c>
      <c r="P184" s="315" t="s">
        <v>185</v>
      </c>
    </row>
    <row r="185" spans="1:16">
      <c r="C185" s="312" t="s">
        <v>186</v>
      </c>
      <c r="F185" s="346">
        <v>3</v>
      </c>
      <c r="P185" s="315" t="s">
        <v>187</v>
      </c>
    </row>
    <row r="186" spans="1:16" outlineLevel="1">
      <c r="C186" s="312" t="s">
        <v>188</v>
      </c>
      <c r="F186" s="223">
        <v>1</v>
      </c>
      <c r="P186" s="315" t="s">
        <v>189</v>
      </c>
    </row>
    <row r="187" spans="1:16" outlineLevel="1">
      <c r="C187" s="312"/>
      <c r="P187" s="315"/>
    </row>
    <row r="188" spans="1:16" outlineLevel="1">
      <c r="P188" s="315"/>
    </row>
    <row r="189" spans="1:16" outlineLevel="1">
      <c r="P189" s="315"/>
    </row>
    <row r="190" spans="1:16" outlineLevel="1">
      <c r="A190" s="122" t="s">
        <v>26</v>
      </c>
      <c r="B190" s="18" t="s">
        <v>190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P190" s="315"/>
    </row>
    <row r="191" spans="1:16" ht="17.399999999999999" outlineLevel="1" thickBot="1">
      <c r="B191" s="241"/>
      <c r="C191" s="242"/>
      <c r="D191" s="242"/>
      <c r="E191" s="242"/>
      <c r="F191" s="242"/>
      <c r="G191" s="243"/>
      <c r="H191" s="244"/>
      <c r="I191" s="244"/>
      <c r="J191" s="244"/>
      <c r="K191" s="244"/>
      <c r="L191" s="244"/>
      <c r="P191" s="315"/>
    </row>
    <row r="192" spans="1:16" outlineLevel="1">
      <c r="B192" s="30" t="s">
        <v>57</v>
      </c>
      <c r="C192" s="74"/>
      <c r="D192" s="74"/>
      <c r="E192" s="74"/>
      <c r="F192" s="75"/>
      <c r="G192" s="75"/>
      <c r="H192" s="75"/>
      <c r="I192" s="76"/>
      <c r="J192" s="76"/>
      <c r="K192" s="76"/>
      <c r="L192" s="76"/>
      <c r="P192" s="315"/>
    </row>
    <row r="193" spans="2:16" outlineLevel="1">
      <c r="B193" s="30"/>
      <c r="C193" s="74"/>
      <c r="D193" s="74"/>
      <c r="E193" s="74"/>
      <c r="F193" s="75"/>
      <c r="G193" s="245"/>
      <c r="H193" s="245"/>
      <c r="I193" s="246"/>
      <c r="J193" s="246"/>
      <c r="K193" s="246"/>
      <c r="L193" s="246"/>
      <c r="P193" s="315"/>
    </row>
    <row r="194" spans="2:16" outlineLevel="1">
      <c r="C194" s="74"/>
      <c r="D194" s="74"/>
      <c r="E194" s="74"/>
      <c r="F194" s="75"/>
      <c r="G194" s="245"/>
      <c r="H194" s="245"/>
      <c r="I194" s="246"/>
      <c r="J194" s="246"/>
      <c r="K194" s="246"/>
      <c r="L194" s="246"/>
      <c r="P194" s="315"/>
    </row>
    <row r="195" spans="2:16" outlineLevel="1">
      <c r="B195" s="77" t="s">
        <v>160</v>
      </c>
      <c r="C195" s="78"/>
      <c r="D195" s="78"/>
      <c r="E195" s="78"/>
      <c r="F195" s="78"/>
      <c r="J195" s="77" t="s">
        <v>191</v>
      </c>
      <c r="K195" s="78"/>
      <c r="L195" s="78"/>
      <c r="M195" s="78"/>
      <c r="N195" s="78"/>
      <c r="P195" s="315"/>
    </row>
    <row r="196" spans="2:16" outlineLevel="1">
      <c r="B196" s="79" t="s">
        <v>192</v>
      </c>
      <c r="C196" s="80"/>
      <c r="D196" s="80"/>
      <c r="E196" s="81" t="s">
        <v>193</v>
      </c>
      <c r="F196" s="247">
        <v>46203</v>
      </c>
      <c r="J196" s="80" t="s">
        <v>194</v>
      </c>
      <c r="K196" s="80"/>
      <c r="N196" s="248">
        <v>56344</v>
      </c>
      <c r="P196" s="315" t="s">
        <v>195</v>
      </c>
    </row>
    <row r="197" spans="2:16" outlineLevel="1">
      <c r="B197" s="79" t="s">
        <v>196</v>
      </c>
      <c r="C197" s="80"/>
      <c r="D197" s="80"/>
      <c r="E197" s="81" t="s">
        <v>193</v>
      </c>
      <c r="F197" s="249">
        <f>F196+(F198-F196)/2</f>
        <v>46295</v>
      </c>
      <c r="J197" s="36" t="s">
        <v>197</v>
      </c>
      <c r="K197" s="244"/>
      <c r="N197" s="248">
        <v>248</v>
      </c>
      <c r="P197" s="315" t="s">
        <v>198</v>
      </c>
    </row>
    <row r="198" spans="2:16" outlineLevel="1">
      <c r="B198" s="80" t="s">
        <v>199</v>
      </c>
      <c r="C198" s="80"/>
      <c r="D198" s="80"/>
      <c r="E198" s="81" t="s">
        <v>193</v>
      </c>
      <c r="F198" s="247">
        <v>46387</v>
      </c>
      <c r="J198" s="36" t="s">
        <v>200</v>
      </c>
      <c r="K198" s="244"/>
      <c r="L198" s="244"/>
      <c r="N198" s="250">
        <f>N207*N208*N209*(1-N210)+N211</f>
        <v>37092.519899999999</v>
      </c>
      <c r="P198" s="315" t="s">
        <v>201</v>
      </c>
    </row>
    <row r="199" spans="2:16" outlineLevel="1">
      <c r="B199" s="80" t="s">
        <v>162</v>
      </c>
      <c r="C199" s="80"/>
      <c r="D199" s="80"/>
      <c r="E199" s="81" t="s">
        <v>163</v>
      </c>
      <c r="F199" s="251">
        <f>YEAR(F198)</f>
        <v>2026</v>
      </c>
      <c r="J199" s="36" t="s">
        <v>202</v>
      </c>
      <c r="N199" s="252">
        <v>887</v>
      </c>
      <c r="P199" s="315" t="s">
        <v>203</v>
      </c>
    </row>
    <row r="200" spans="2:16" outlineLevel="1">
      <c r="B200" s="79" t="s">
        <v>5</v>
      </c>
      <c r="C200" s="80"/>
      <c r="D200" s="80"/>
      <c r="E200" s="80"/>
      <c r="F200" s="253">
        <f>IF(F196&gt;F197,1,0)</f>
        <v>0</v>
      </c>
      <c r="G200" s="243"/>
      <c r="P200" s="315"/>
    </row>
    <row r="201" spans="2:16" outlineLevel="1">
      <c r="B201" s="79" t="s">
        <v>7</v>
      </c>
      <c r="C201" s="80"/>
      <c r="D201" s="80"/>
      <c r="E201" s="80"/>
      <c r="F201" s="253">
        <f>IF(F197&gt;F198,1,0)</f>
        <v>0</v>
      </c>
      <c r="P201" s="315"/>
    </row>
    <row r="202" spans="2:16" outlineLevel="1">
      <c r="B202" s="80" t="s">
        <v>166</v>
      </c>
      <c r="C202" s="254"/>
      <c r="D202" s="254"/>
      <c r="E202" s="80"/>
      <c r="F202" s="255">
        <v>365</v>
      </c>
      <c r="P202" s="315"/>
    </row>
    <row r="203" spans="2:16" outlineLevel="1">
      <c r="B203" s="80"/>
      <c r="C203" s="254"/>
      <c r="D203" s="254"/>
      <c r="E203" s="80"/>
      <c r="F203" s="256"/>
      <c r="P203" s="315"/>
    </row>
    <row r="204" spans="2:16" outlineLevel="1">
      <c r="P204" s="315"/>
    </row>
    <row r="205" spans="2:16" outlineLevel="1">
      <c r="P205" s="315"/>
    </row>
    <row r="206" spans="2:16" outlineLevel="1">
      <c r="B206" s="77" t="s">
        <v>204</v>
      </c>
      <c r="C206" s="78"/>
      <c r="D206" s="78"/>
      <c r="E206" s="78"/>
      <c r="F206" s="78"/>
      <c r="G206" s="243"/>
      <c r="J206" s="77" t="s">
        <v>205</v>
      </c>
      <c r="K206" s="78"/>
      <c r="L206" s="78"/>
      <c r="M206" s="78"/>
      <c r="N206" s="78"/>
      <c r="P206" s="315"/>
    </row>
    <row r="207" spans="2:16" outlineLevel="1">
      <c r="B207" s="80" t="s">
        <v>42</v>
      </c>
      <c r="C207" s="80"/>
      <c r="D207" s="80"/>
      <c r="E207" s="332" t="s">
        <v>43</v>
      </c>
      <c r="F207" s="248">
        <v>2573</v>
      </c>
      <c r="G207" s="243"/>
      <c r="J207" s="80" t="s">
        <v>206</v>
      </c>
      <c r="K207" s="257"/>
      <c r="L207" s="80"/>
      <c r="M207" s="254"/>
      <c r="N207" s="258">
        <v>0.20100000000000001</v>
      </c>
      <c r="P207" s="315" t="s">
        <v>207</v>
      </c>
    </row>
    <row r="208" spans="2:16" outlineLevel="1">
      <c r="B208" s="82" t="s">
        <v>44</v>
      </c>
      <c r="C208" s="82"/>
      <c r="D208" s="82"/>
      <c r="E208" s="333" t="s">
        <v>45</v>
      </c>
      <c r="F208" s="141">
        <v>74.63</v>
      </c>
      <c r="G208" s="243"/>
      <c r="J208" s="80" t="s">
        <v>208</v>
      </c>
      <c r="K208" s="80"/>
      <c r="L208" s="80"/>
      <c r="M208" s="80"/>
      <c r="N208" s="142">
        <v>198430</v>
      </c>
      <c r="P208" s="315" t="s">
        <v>209</v>
      </c>
    </row>
    <row r="209" spans="1:16" ht="17.399999999999999" customHeight="1" outlineLevel="1">
      <c r="B209" s="80" t="s">
        <v>210</v>
      </c>
      <c r="C209" s="80"/>
      <c r="D209" s="80"/>
      <c r="E209" s="334"/>
      <c r="F209" s="259">
        <f>$N$10</f>
        <v>1.4999999999999999E-2</v>
      </c>
      <c r="G209" s="243"/>
      <c r="J209" s="82" t="s">
        <v>211</v>
      </c>
      <c r="K209" s="260"/>
      <c r="L209" s="82"/>
      <c r="M209" s="261"/>
      <c r="N209" s="143">
        <v>0.93</v>
      </c>
      <c r="P209" s="315" t="s">
        <v>212</v>
      </c>
    </row>
    <row r="210" spans="1:16" outlineLevel="1">
      <c r="B210" s="80" t="s">
        <v>213</v>
      </c>
      <c r="C210" s="80"/>
      <c r="D210" s="80"/>
      <c r="E210" s="84"/>
      <c r="F210" s="262">
        <v>13.5</v>
      </c>
      <c r="G210" s="243"/>
      <c r="J210" s="80" t="s">
        <v>214</v>
      </c>
      <c r="K210" s="80"/>
      <c r="L210" s="80"/>
      <c r="M210" s="80"/>
      <c r="N210" s="263">
        <v>0</v>
      </c>
      <c r="P210" s="315" t="s">
        <v>215</v>
      </c>
    </row>
    <row r="211" spans="1:16" outlineLevel="1">
      <c r="B211" s="80" t="s">
        <v>216</v>
      </c>
      <c r="C211" s="80"/>
      <c r="D211" s="80"/>
      <c r="E211" s="80"/>
      <c r="F211" s="264">
        <f>N257</f>
        <v>5.0865748886442602E-2</v>
      </c>
      <c r="G211" s="243"/>
      <c r="J211" s="80" t="s">
        <v>217</v>
      </c>
      <c r="K211" s="80"/>
      <c r="L211" s="80"/>
      <c r="M211" s="84"/>
      <c r="N211" s="265">
        <v>0</v>
      </c>
      <c r="P211" s="315" t="s">
        <v>218</v>
      </c>
    </row>
    <row r="212" spans="1:16" outlineLevel="1">
      <c r="B212" s="79" t="s">
        <v>219</v>
      </c>
      <c r="C212" s="260"/>
      <c r="D212" s="82"/>
      <c r="E212" s="261"/>
      <c r="F212" s="266">
        <f>IF(F209&gt;=F211,1,0)</f>
        <v>0</v>
      </c>
      <c r="G212" s="243"/>
      <c r="J212" s="80"/>
      <c r="K212" s="80"/>
      <c r="L212" s="80"/>
      <c r="M212" s="84"/>
      <c r="N212" s="267"/>
      <c r="P212" s="315"/>
    </row>
    <row r="213" spans="1:16" outlineLevel="1">
      <c r="B213" s="82"/>
      <c r="C213" s="82"/>
      <c r="D213" s="82"/>
      <c r="E213" s="83"/>
      <c r="F213" s="268"/>
      <c r="G213" s="243"/>
      <c r="J213" s="80"/>
      <c r="K213" s="80"/>
      <c r="L213" s="80"/>
      <c r="M213" s="84"/>
      <c r="N213" s="267"/>
      <c r="P213" s="315"/>
    </row>
    <row r="214" spans="1:16" ht="17.399999999999999" outlineLevel="1" thickBot="1"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 t="s">
        <v>26</v>
      </c>
      <c r="M214" s="62" t="s">
        <v>26</v>
      </c>
      <c r="N214" s="62" t="s">
        <v>26</v>
      </c>
      <c r="P214" s="315"/>
    </row>
    <row r="215" spans="1:16" outlineLevel="1">
      <c r="P215" s="315"/>
    </row>
    <row r="216" spans="1:16" outlineLevel="1">
      <c r="A216" s="122" t="s">
        <v>26</v>
      </c>
      <c r="B216" s="18" t="s">
        <v>220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P216" s="315"/>
    </row>
    <row r="217" spans="1:16" outlineLevel="1">
      <c r="P217" s="315"/>
    </row>
    <row r="218" spans="1:16" outlineLevel="1">
      <c r="B218" s="30" t="s">
        <v>57</v>
      </c>
      <c r="P218" s="315"/>
    </row>
    <row r="219" spans="1:16" outlineLevel="1">
      <c r="B219" s="30"/>
      <c r="P219" s="315"/>
    </row>
    <row r="220" spans="1:16" outlineLevel="1">
      <c r="P220" s="315"/>
    </row>
    <row r="221" spans="1:16" ht="17.399999999999999" outlineLevel="1" thickBot="1">
      <c r="B221" s="85"/>
      <c r="C221" s="86"/>
      <c r="D221" s="86"/>
      <c r="E221" s="86"/>
      <c r="H221" s="87"/>
      <c r="I221" s="87"/>
      <c r="J221" s="269" t="s">
        <v>221</v>
      </c>
      <c r="K221" s="270" t="s">
        <v>222</v>
      </c>
      <c r="L221" s="270" t="s">
        <v>222</v>
      </c>
      <c r="M221" s="269" t="s">
        <v>223</v>
      </c>
      <c r="N221" s="271" t="s">
        <v>224</v>
      </c>
      <c r="P221" s="315"/>
    </row>
    <row r="222" spans="1:16" ht="18" customHeight="1" outlineLevel="1">
      <c r="B222" s="88" t="s">
        <v>225</v>
      </c>
      <c r="C222" s="88"/>
      <c r="D222" s="89"/>
      <c r="E222" s="89" t="s">
        <v>226</v>
      </c>
      <c r="H222" s="272" t="s">
        <v>227</v>
      </c>
      <c r="I222" s="272" t="s">
        <v>32</v>
      </c>
      <c r="J222" s="90" t="s">
        <v>228</v>
      </c>
      <c r="K222" s="273" t="s">
        <v>32</v>
      </c>
      <c r="L222" s="273" t="s">
        <v>229</v>
      </c>
      <c r="M222" s="90" t="s">
        <v>230</v>
      </c>
      <c r="N222" s="90" t="s">
        <v>231</v>
      </c>
      <c r="P222" s="315"/>
    </row>
    <row r="223" spans="1:16" outlineLevel="1">
      <c r="B223" s="108"/>
      <c r="C223" s="108"/>
      <c r="D223" s="108"/>
      <c r="E223" s="108"/>
      <c r="H223" s="274"/>
      <c r="I223" s="274"/>
      <c r="J223" s="275"/>
      <c r="K223" s="276"/>
      <c r="L223" s="276"/>
      <c r="M223" s="277"/>
      <c r="N223" s="274"/>
      <c r="P223" s="315"/>
    </row>
    <row r="224" spans="1:16" outlineLevel="1">
      <c r="B224" s="91" t="s">
        <v>232</v>
      </c>
      <c r="C224" s="80"/>
      <c r="D224" s="92"/>
      <c r="E224" s="92" t="s">
        <v>233</v>
      </c>
      <c r="H224" s="350">
        <v>12555</v>
      </c>
      <c r="I224" s="350">
        <v>36456</v>
      </c>
      <c r="J224" s="351">
        <v>0.27</v>
      </c>
      <c r="K224" s="352">
        <f>H224/I224</f>
        <v>0.34438775510204084</v>
      </c>
      <c r="L224" s="352">
        <f>H224/(H224+I224)</f>
        <v>0.25616698292220114</v>
      </c>
      <c r="M224" s="353">
        <v>0.66</v>
      </c>
      <c r="N224" s="279">
        <f>M224/(1+(1-J224)*K224)</f>
        <v>0.52740801141575788</v>
      </c>
      <c r="P224" s="315" t="s">
        <v>234</v>
      </c>
    </row>
    <row r="225" spans="2:16" outlineLevel="1">
      <c r="B225" s="91" t="s">
        <v>235</v>
      </c>
      <c r="C225" s="80"/>
      <c r="D225" s="92"/>
      <c r="E225" s="92" t="s">
        <v>236</v>
      </c>
      <c r="H225" s="350">
        <v>37920</v>
      </c>
      <c r="I225" s="350">
        <v>141410</v>
      </c>
      <c r="J225" s="351">
        <v>0.2</v>
      </c>
      <c r="K225" s="352">
        <f>H225/I225</f>
        <v>0.26815642458100558</v>
      </c>
      <c r="L225" s="352">
        <f>H225/(H225+I225)</f>
        <v>0.21145374449339208</v>
      </c>
      <c r="M225" s="353">
        <v>0.63</v>
      </c>
      <c r="N225" s="279">
        <f>M225/(1+(1-J225)*K225)</f>
        <v>0.51872125114995404</v>
      </c>
      <c r="P225" s="315" t="s">
        <v>237</v>
      </c>
    </row>
    <row r="226" spans="2:16" ht="17.399999999999999" outlineLevel="1" thickBot="1">
      <c r="B226" s="91" t="s">
        <v>238</v>
      </c>
      <c r="C226" s="80"/>
      <c r="D226" s="92"/>
      <c r="E226" s="92" t="s">
        <v>236</v>
      </c>
      <c r="H226" s="350">
        <v>36340</v>
      </c>
      <c r="I226" s="350">
        <v>299410</v>
      </c>
      <c r="J226" s="351">
        <v>0.19</v>
      </c>
      <c r="K226" s="352">
        <f>H226/I226</f>
        <v>0.12137203166226913</v>
      </c>
      <c r="L226" s="352">
        <f>H226/(H226+I226)</f>
        <v>0.10823529411764705</v>
      </c>
      <c r="M226" s="353">
        <v>0.62</v>
      </c>
      <c r="N226" s="279">
        <f>M226/(1+(1-J226)*K226)</f>
        <v>0.56450295488396673</v>
      </c>
      <c r="P226" s="315" t="s">
        <v>239</v>
      </c>
    </row>
    <row r="227" spans="2:16" outlineLevel="1">
      <c r="B227" s="91" t="s">
        <v>240</v>
      </c>
      <c r="C227" s="80"/>
      <c r="D227" s="92"/>
      <c r="E227" s="92" t="s">
        <v>241</v>
      </c>
      <c r="H227" s="350">
        <v>23250</v>
      </c>
      <c r="I227" s="350">
        <v>105544</v>
      </c>
      <c r="J227" s="351">
        <v>0.25</v>
      </c>
      <c r="K227" s="352">
        <f>H227/I227</f>
        <v>0.2202872735541575</v>
      </c>
      <c r="L227" s="352">
        <f>H227/(H227+I227)</f>
        <v>0.18052083171576316</v>
      </c>
      <c r="M227" s="353">
        <v>0.6</v>
      </c>
      <c r="N227" s="279">
        <f>M227/(1+(1-J227)*K227)</f>
        <v>0.51492622874172123</v>
      </c>
      <c r="P227" s="315" t="s">
        <v>242</v>
      </c>
    </row>
    <row r="228" spans="2:16" outlineLevel="1">
      <c r="B228" s="93" t="s">
        <v>243</v>
      </c>
      <c r="C228" s="93"/>
      <c r="D228" s="94"/>
      <c r="E228" s="94" t="s">
        <v>236</v>
      </c>
      <c r="H228" s="354">
        <v>16195</v>
      </c>
      <c r="I228" s="354">
        <v>58224</v>
      </c>
      <c r="J228" s="355">
        <v>0.22</v>
      </c>
      <c r="K228" s="356">
        <f>H228/I228</f>
        <v>0.2781499038197307</v>
      </c>
      <c r="L228" s="356">
        <f>H228/(H228+I228)</f>
        <v>0.21761915639823162</v>
      </c>
      <c r="M228" s="357">
        <v>0.68</v>
      </c>
      <c r="N228" s="280">
        <f>M228/(1+(1-J228)*K228)</f>
        <v>0.55877080448966288</v>
      </c>
      <c r="P228" s="315" t="s">
        <v>550</v>
      </c>
    </row>
    <row r="229" spans="2:16">
      <c r="C229" s="95"/>
      <c r="D229" s="58"/>
      <c r="E229" s="58"/>
      <c r="H229" s="278"/>
      <c r="I229" s="278"/>
      <c r="J229" s="281"/>
      <c r="K229" s="96"/>
      <c r="L229" s="96"/>
      <c r="M229" s="282"/>
      <c r="N229" s="279"/>
      <c r="P229" s="315"/>
    </row>
    <row r="230" spans="2:16">
      <c r="B230" s="241"/>
      <c r="C230" s="74"/>
      <c r="D230" s="74"/>
      <c r="E230" s="74"/>
      <c r="H230" s="75"/>
      <c r="I230" s="97" t="s">
        <v>221</v>
      </c>
      <c r="J230" s="283">
        <f>AVERAGE(J224:J228)</f>
        <v>0.22600000000000003</v>
      </c>
      <c r="K230" s="284">
        <f>AVERAGE(K224:K228)</f>
        <v>0.24647067774384074</v>
      </c>
      <c r="L230" s="284">
        <f>AVERAGE(L224:L228)</f>
        <v>0.19479920192944702</v>
      </c>
      <c r="M230" s="285">
        <f>AVERAGE(M224:M228)</f>
        <v>0.63800000000000012</v>
      </c>
      <c r="N230" s="285">
        <f>AVERAGE(N224:N228)</f>
        <v>0.53686585013621246</v>
      </c>
      <c r="P230" s="315"/>
    </row>
    <row r="231" spans="2:16">
      <c r="B231" s="241"/>
      <c r="C231" s="74"/>
      <c r="D231" s="74"/>
      <c r="E231" s="74"/>
      <c r="H231" s="75"/>
      <c r="I231" s="98" t="s">
        <v>244</v>
      </c>
      <c r="J231" s="286">
        <f>MEDIAN(J224:J228)</f>
        <v>0.22</v>
      </c>
      <c r="K231" s="287">
        <f>MEDIAN(K224:K228)</f>
        <v>0.26815642458100558</v>
      </c>
      <c r="L231" s="287">
        <f>MEDIAN(L224:L228)</f>
        <v>0.21145374449339208</v>
      </c>
      <c r="M231" s="280">
        <f>MEDIAN(M224:M228)</f>
        <v>0.63</v>
      </c>
      <c r="N231" s="280">
        <f>MEDIAN(N224:N228)</f>
        <v>0.52740801141575788</v>
      </c>
      <c r="P231" s="315"/>
    </row>
    <row r="232" spans="2:16">
      <c r="B232" s="241"/>
      <c r="C232" s="74"/>
      <c r="D232" s="74"/>
      <c r="E232" s="74"/>
      <c r="F232" s="75"/>
      <c r="G232" s="75"/>
      <c r="H232" s="288"/>
      <c r="I232" s="289"/>
      <c r="J232" s="289"/>
      <c r="K232" s="290"/>
      <c r="L232" s="290"/>
      <c r="P232" s="315"/>
    </row>
    <row r="233" spans="2:16">
      <c r="B233" s="58"/>
      <c r="C233" s="74"/>
      <c r="D233" s="74"/>
      <c r="E233" s="74"/>
      <c r="F233" s="99"/>
      <c r="G233" s="291"/>
      <c r="H233" s="291"/>
      <c r="I233" s="292"/>
      <c r="J233" s="292"/>
      <c r="K233" s="292"/>
      <c r="L233" s="292"/>
      <c r="P233" s="315"/>
    </row>
    <row r="234" spans="2:16">
      <c r="B234" s="100" t="s">
        <v>245</v>
      </c>
      <c r="C234" s="78"/>
      <c r="D234" s="78"/>
      <c r="E234" s="78"/>
      <c r="F234" s="101"/>
      <c r="J234" s="100" t="s">
        <v>246</v>
      </c>
      <c r="K234" s="102"/>
      <c r="L234" s="78"/>
      <c r="M234" s="102"/>
      <c r="N234" s="101"/>
      <c r="P234" s="315"/>
    </row>
    <row r="235" spans="2:16">
      <c r="B235" s="104"/>
      <c r="C235" s="104"/>
      <c r="D235" s="104"/>
      <c r="E235" s="104"/>
      <c r="F235" s="104"/>
      <c r="G235" s="34"/>
      <c r="J235" s="104"/>
      <c r="K235" s="104"/>
      <c r="L235" s="104"/>
      <c r="M235" s="104"/>
      <c r="N235" s="104"/>
      <c r="P235" s="315"/>
    </row>
    <row r="236" spans="2:16">
      <c r="B236" s="103" t="s">
        <v>247</v>
      </c>
      <c r="D236" s="104"/>
      <c r="E236" s="104"/>
      <c r="F236" s="293">
        <v>0.06</v>
      </c>
      <c r="G236" s="34"/>
      <c r="J236" s="103" t="s">
        <v>248</v>
      </c>
      <c r="N236" s="293">
        <v>0.01</v>
      </c>
      <c r="P236" s="315" t="s">
        <v>249</v>
      </c>
    </row>
    <row r="237" spans="2:16">
      <c r="B237" s="103" t="s">
        <v>250</v>
      </c>
      <c r="F237" s="294">
        <f>N230</f>
        <v>0.53686585013621246</v>
      </c>
      <c r="J237" s="103" t="s">
        <v>251</v>
      </c>
      <c r="L237" s="34"/>
      <c r="N237" s="288">
        <f>F239</f>
        <v>4.0425998515256793E-2</v>
      </c>
      <c r="P237" s="315" t="s">
        <v>252</v>
      </c>
    </row>
    <row r="238" spans="2:16" ht="17.399999999999999" customHeight="1">
      <c r="B238" s="105" t="s">
        <v>253</v>
      </c>
      <c r="F238" s="295">
        <f>F237*(1+(1-N246)*F250)</f>
        <v>0.6737666419209466</v>
      </c>
      <c r="J238" s="103" t="s">
        <v>254</v>
      </c>
      <c r="N238" s="296">
        <v>0.01</v>
      </c>
      <c r="P238" s="315" t="s">
        <v>255</v>
      </c>
    </row>
    <row r="239" spans="2:16">
      <c r="B239" s="103" t="s">
        <v>251</v>
      </c>
      <c r="F239" s="288">
        <f>F236*F238</f>
        <v>4.0425998515256793E-2</v>
      </c>
      <c r="J239" s="103" t="s">
        <v>246</v>
      </c>
      <c r="L239" s="34"/>
      <c r="N239" s="288">
        <f>SUM(N236:N238)</f>
        <v>6.0425998515256797E-2</v>
      </c>
      <c r="P239" s="315"/>
    </row>
    <row r="240" spans="2:16">
      <c r="P240" s="315"/>
    </row>
    <row r="241" spans="2:16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P241" s="315"/>
    </row>
    <row r="242" spans="2:16">
      <c r="B242" s="34"/>
      <c r="C242" s="34"/>
      <c r="D242" s="34"/>
      <c r="E242" s="34"/>
      <c r="F242" s="34"/>
      <c r="G242" s="34"/>
      <c r="H242" s="34"/>
      <c r="I242" s="297"/>
      <c r="J242" s="34"/>
      <c r="K242" s="297"/>
      <c r="L242" s="297"/>
      <c r="P242" s="315"/>
    </row>
    <row r="243" spans="2:16">
      <c r="B243" s="100" t="s">
        <v>256</v>
      </c>
      <c r="C243" s="78"/>
      <c r="D243" s="78"/>
      <c r="E243" s="298"/>
      <c r="F243" s="298"/>
      <c r="J243" s="100" t="s">
        <v>257</v>
      </c>
      <c r="K243" s="78"/>
      <c r="L243" s="78"/>
      <c r="M243" s="78"/>
      <c r="N243" s="101"/>
      <c r="P243" s="315"/>
    </row>
    <row r="244" spans="2:16">
      <c r="C244" s="104"/>
      <c r="D244" s="104"/>
      <c r="E244" s="104"/>
      <c r="F244" s="104"/>
      <c r="J244" s="104"/>
      <c r="K244" s="104"/>
      <c r="L244" s="104"/>
      <c r="M244" s="104"/>
      <c r="N244" s="104"/>
      <c r="P244" s="315"/>
    </row>
    <row r="245" spans="2:16" ht="17.399999999999999" customHeight="1">
      <c r="B245" s="241"/>
      <c r="E245" s="299" t="s">
        <v>258</v>
      </c>
      <c r="F245" s="299" t="s">
        <v>259</v>
      </c>
      <c r="J245" s="103" t="s">
        <v>260</v>
      </c>
      <c r="K245" s="34"/>
      <c r="M245" s="34"/>
      <c r="N245" s="300">
        <f>M182</f>
        <v>2.9000000000000001E-2</v>
      </c>
      <c r="P245" s="315" t="s">
        <v>261</v>
      </c>
    </row>
    <row r="246" spans="2:16">
      <c r="B246" s="103" t="s">
        <v>262</v>
      </c>
      <c r="C246" s="34"/>
      <c r="D246" s="255">
        <v>62900</v>
      </c>
      <c r="E246" s="288">
        <f>D246/D248</f>
        <v>0.24674118250378282</v>
      </c>
      <c r="F246" s="293">
        <v>0.25</v>
      </c>
      <c r="J246" s="103" t="s">
        <v>164</v>
      </c>
      <c r="N246" s="301">
        <f>M173</f>
        <v>0.23499999999999999</v>
      </c>
      <c r="P246" s="315" t="s">
        <v>263</v>
      </c>
    </row>
    <row r="247" spans="2:16">
      <c r="B247" s="103" t="s">
        <v>264</v>
      </c>
      <c r="D247" s="302">
        <f>F207*F208</f>
        <v>192022.99</v>
      </c>
      <c r="E247" s="303">
        <f>D247/D248</f>
        <v>0.75325881749621715</v>
      </c>
      <c r="F247" s="303">
        <f>1-F246</f>
        <v>0.75</v>
      </c>
      <c r="J247" s="103" t="s">
        <v>265</v>
      </c>
      <c r="N247" s="288">
        <f>N245*(1-N246)</f>
        <v>2.2185E-2</v>
      </c>
      <c r="P247" s="315"/>
    </row>
    <row r="248" spans="2:16">
      <c r="B248" s="103" t="s">
        <v>266</v>
      </c>
      <c r="D248" s="304">
        <f>SUM(D246:D247)</f>
        <v>254922.99</v>
      </c>
      <c r="E248" s="288">
        <f>SUM(E246:E247)</f>
        <v>1</v>
      </c>
      <c r="F248" s="288">
        <f>SUM(F246:F247)</f>
        <v>1</v>
      </c>
      <c r="P248" s="315"/>
    </row>
    <row r="249" spans="2:16">
      <c r="F249" s="75"/>
      <c r="P249" s="315"/>
    </row>
    <row r="250" spans="2:16">
      <c r="B250" s="106" t="s">
        <v>267</v>
      </c>
      <c r="C250" s="107"/>
      <c r="D250" s="107"/>
      <c r="E250" s="305">
        <f>E246/E247</f>
        <v>0.32756494417673637</v>
      </c>
      <c r="F250" s="305">
        <f>F246/F247</f>
        <v>0.33333333333333331</v>
      </c>
      <c r="J250" s="100" t="s">
        <v>220</v>
      </c>
      <c r="K250" s="102"/>
      <c r="L250" s="78"/>
      <c r="M250" s="101"/>
      <c r="N250" s="78"/>
      <c r="P250" s="315"/>
    </row>
    <row r="251" spans="2:16">
      <c r="B251" s="108"/>
      <c r="G251" s="74"/>
      <c r="J251" s="104"/>
      <c r="K251" s="104"/>
      <c r="L251" s="104"/>
      <c r="M251" s="104"/>
      <c r="N251" s="104"/>
      <c r="P251" s="315"/>
    </row>
    <row r="252" spans="2:16" ht="17.399999999999999" customHeight="1">
      <c r="B252" s="58"/>
      <c r="G252" s="74"/>
      <c r="J252" s="34"/>
      <c r="K252" s="34"/>
      <c r="L252" s="34"/>
      <c r="M252" s="306" t="s">
        <v>268</v>
      </c>
      <c r="N252" s="306" t="s">
        <v>269</v>
      </c>
      <c r="P252" s="315"/>
    </row>
    <row r="253" spans="2:16">
      <c r="B253" s="307" t="s">
        <v>270</v>
      </c>
      <c r="C253" s="34"/>
      <c r="D253" s="109"/>
      <c r="E253" s="109"/>
      <c r="F253" s="109"/>
      <c r="J253" s="103" t="s">
        <v>271</v>
      </c>
      <c r="L253" s="34"/>
      <c r="M253" s="288">
        <f>F246</f>
        <v>0.25</v>
      </c>
      <c r="N253" s="288">
        <f>N247</f>
        <v>2.2185E-2</v>
      </c>
      <c r="P253" s="315"/>
    </row>
    <row r="254" spans="2:16">
      <c r="B254" s="308" t="s">
        <v>272</v>
      </c>
      <c r="C254" s="34"/>
      <c r="D254" s="109"/>
      <c r="E254" s="109"/>
      <c r="F254" s="109"/>
      <c r="J254" s="103" t="s">
        <v>273</v>
      </c>
      <c r="M254" s="288">
        <f>F247</f>
        <v>0.75</v>
      </c>
      <c r="N254" s="288">
        <f>N239</f>
        <v>6.0425998515256797E-2</v>
      </c>
      <c r="P254" s="315"/>
    </row>
    <row r="255" spans="2:16">
      <c r="B255" s="110" t="s">
        <v>274</v>
      </c>
      <c r="P255" s="315"/>
    </row>
    <row r="256" spans="2:16">
      <c r="B256" s="111" t="s">
        <v>275</v>
      </c>
      <c r="J256" s="34"/>
      <c r="K256" s="34"/>
      <c r="L256" s="34"/>
      <c r="M256" s="34"/>
      <c r="N256" s="34"/>
      <c r="P256" s="315"/>
    </row>
    <row r="257" spans="1:16" ht="17.399999999999999" customHeight="1">
      <c r="B257" s="34"/>
      <c r="C257" s="34"/>
      <c r="D257" s="34"/>
      <c r="E257" s="34"/>
      <c r="F257" s="34"/>
      <c r="G257" s="34"/>
      <c r="J257" s="103" t="s">
        <v>220</v>
      </c>
      <c r="M257" s="34"/>
      <c r="N257" s="309">
        <f>SUMPRODUCT(M253:M254,N253:N254)</f>
        <v>5.0865748886442602E-2</v>
      </c>
      <c r="P257" s="315" t="s">
        <v>276</v>
      </c>
    </row>
    <row r="258" spans="1:16">
      <c r="P258" s="315"/>
    </row>
    <row r="259" spans="1:16">
      <c r="A259" s="122" t="s">
        <v>26</v>
      </c>
      <c r="B259" s="112"/>
      <c r="C259" s="112"/>
      <c r="D259" s="112"/>
      <c r="E259" s="112"/>
      <c r="F259" s="112"/>
      <c r="G259" s="112"/>
      <c r="H259" s="310"/>
      <c r="I259" s="310"/>
      <c r="J259" s="310"/>
      <c r="K259" s="310"/>
      <c r="L259" s="310"/>
      <c r="M259" s="310"/>
      <c r="N259" s="310"/>
    </row>
  </sheetData>
  <conditionalFormatting sqref="F200:F201 F212">
    <cfRule type="expression" dxfId="1" priority="1">
      <formula>F200=1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88"/>
  <sheetViews>
    <sheetView showGridLines="0" zoomScale="85" zoomScaleNormal="85" workbookViewId="0">
      <pane ySplit="2" topLeftCell="A567" activePane="bottomLeft" state="frozen"/>
      <selection pane="bottomLeft" sqref="A1:A1048576"/>
    </sheetView>
  </sheetViews>
  <sheetFormatPr defaultRowHeight="16.8" outlineLevelRow="1"/>
  <cols>
    <col min="1" max="1" width="6.77734375" style="122" customWidth="1"/>
    <col min="2" max="2" width="4.77734375" style="361" customWidth="1"/>
    <col min="3" max="3" width="26.77734375" style="361" customWidth="1"/>
    <col min="4" max="4" width="12.77734375" style="361" customWidth="1"/>
    <col min="5" max="5" width="25.44140625" style="361" customWidth="1"/>
    <col min="6" max="14" width="12.33203125" style="361" customWidth="1"/>
    <col min="15" max="15" width="8.88671875" style="361" customWidth="1"/>
    <col min="16" max="16384" width="8.88671875" style="361"/>
  </cols>
  <sheetData>
    <row r="1" spans="1:14" ht="56.4" customHeight="1"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</row>
    <row r="2" spans="1:14">
      <c r="A2" s="122" t="s">
        <v>26</v>
      </c>
      <c r="B2" s="363" t="str">
        <f>"Nestlé S.A.  |  CHF millions  |  Scenario: "&amp;INDEX(Input!$B$12:$B$14,Input!$D$6)</f>
        <v>Nestlé S.A.  |  CHF millions  |  Scenario: Base Case</v>
      </c>
      <c r="C2" s="364"/>
      <c r="D2" s="364"/>
      <c r="E2" s="364"/>
      <c r="F2" s="365">
        <f>G2-1</f>
        <v>2023</v>
      </c>
      <c r="G2" s="365">
        <f>H2-1</f>
        <v>2024</v>
      </c>
      <c r="H2" s="365">
        <f>I2-1</f>
        <v>2025</v>
      </c>
      <c r="I2" s="366">
        <f>Input!$I$2</f>
        <v>2026</v>
      </c>
      <c r="J2" s="366">
        <f>I2+1</f>
        <v>2027</v>
      </c>
      <c r="K2" s="366">
        <f>J2+1</f>
        <v>2028</v>
      </c>
      <c r="L2" s="366">
        <f>K2+1</f>
        <v>2029</v>
      </c>
      <c r="M2" s="366">
        <f>L2+1</f>
        <v>2030</v>
      </c>
      <c r="N2" s="367" t="s">
        <v>53</v>
      </c>
    </row>
    <row r="4" spans="1:14">
      <c r="A4" s="118" t="s">
        <v>26</v>
      </c>
      <c r="B4" s="364" t="s">
        <v>55</v>
      </c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</row>
    <row r="5" spans="1:14" outlineLevel="1">
      <c r="A5" s="118"/>
      <c r="B5" s="368"/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</row>
    <row r="6" spans="1:14" ht="17.399999999999999" customHeight="1" outlineLevel="1" thickBot="1">
      <c r="A6" s="118"/>
      <c r="B6" s="369" t="str">
        <f>Input!$B$8</f>
        <v>All figures in CHF millions unless stated</v>
      </c>
      <c r="C6" s="368"/>
      <c r="D6" s="368"/>
      <c r="E6" s="368"/>
      <c r="F6" s="370">
        <f t="shared" ref="F6:N6" si="0">F$2</f>
        <v>2023</v>
      </c>
      <c r="G6" s="370">
        <f t="shared" si="0"/>
        <v>2024</v>
      </c>
      <c r="H6" s="370">
        <f t="shared" si="0"/>
        <v>2025</v>
      </c>
      <c r="I6" s="371">
        <f t="shared" si="0"/>
        <v>2026</v>
      </c>
      <c r="J6" s="371">
        <f t="shared" si="0"/>
        <v>2027</v>
      </c>
      <c r="K6" s="371">
        <f t="shared" si="0"/>
        <v>2028</v>
      </c>
      <c r="L6" s="371">
        <f t="shared" si="0"/>
        <v>2029</v>
      </c>
      <c r="M6" s="371">
        <f t="shared" si="0"/>
        <v>2030</v>
      </c>
      <c r="N6" s="372" t="str">
        <f t="shared" si="0"/>
        <v>Term</v>
      </c>
    </row>
    <row r="7" spans="1:14" ht="17.399999999999999" customHeight="1" outlineLevel="1" thickTop="1">
      <c r="A7" s="118"/>
      <c r="B7" s="369" t="str">
        <f>CONCATENATE("Model Running: ",INDEX(Input!$B$12:$B$14,Input!$D$6)," Drivers")</f>
        <v>Model Running: Base Case Drivers</v>
      </c>
      <c r="C7" s="368"/>
      <c r="D7" s="368"/>
      <c r="E7" s="368"/>
      <c r="F7" s="368"/>
      <c r="G7" s="368"/>
      <c r="H7" s="368"/>
      <c r="I7" s="368"/>
      <c r="J7" s="368"/>
      <c r="K7" s="368"/>
      <c r="L7" s="368"/>
      <c r="M7" s="368"/>
      <c r="N7" s="373"/>
    </row>
    <row r="8" spans="1:14" outlineLevel="1">
      <c r="A8" s="11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73"/>
    </row>
    <row r="9" spans="1:14" outlineLevel="1">
      <c r="A9" s="119"/>
      <c r="B9" s="374" t="s">
        <v>277</v>
      </c>
      <c r="C9" s="373"/>
      <c r="D9" s="373"/>
      <c r="E9" s="373"/>
      <c r="F9" s="373"/>
      <c r="G9" s="375">
        <v>-1.7677799522570401E-2</v>
      </c>
      <c r="H9" s="375">
        <v>-2.0404142128423501E-2</v>
      </c>
      <c r="I9" s="376">
        <f>Input!I$10</f>
        <v>5.0000000000000001E-3</v>
      </c>
      <c r="J9" s="376">
        <f>Input!J$10</f>
        <v>1.4999999999999999E-2</v>
      </c>
      <c r="K9" s="376">
        <f>Input!K$10</f>
        <v>5.0000000000000001E-3</v>
      </c>
      <c r="L9" s="376">
        <f>Input!L$10</f>
        <v>0.02</v>
      </c>
      <c r="M9" s="376">
        <f>Input!M$10</f>
        <v>2.8000000000000001E-2</v>
      </c>
      <c r="N9" s="376">
        <f>Input!N$10</f>
        <v>1.4999999999999999E-2</v>
      </c>
    </row>
    <row r="10" spans="1:14" outlineLevel="1">
      <c r="A10" s="119"/>
      <c r="B10" s="374" t="s">
        <v>278</v>
      </c>
      <c r="C10" s="373"/>
      <c r="D10" s="373"/>
      <c r="E10" s="373"/>
      <c r="F10" s="375">
        <v>3.7957805544205298E-3</v>
      </c>
      <c r="G10" s="375">
        <v>4.0063927140574001E-3</v>
      </c>
      <c r="H10" s="375">
        <v>4.4139009945245297E-3</v>
      </c>
      <c r="I10" s="376">
        <f>Input!I$17</f>
        <v>4.1999999999999997E-3</v>
      </c>
      <c r="J10" s="376">
        <f>Input!J$17</f>
        <v>4.3E-3</v>
      </c>
      <c r="K10" s="376">
        <f>Input!K$17</f>
        <v>4.3E-3</v>
      </c>
      <c r="L10" s="376">
        <f>Input!L$17</f>
        <v>4.4000000000000003E-3</v>
      </c>
      <c r="M10" s="376">
        <f>Input!M$17</f>
        <v>4.4999999999999997E-3</v>
      </c>
      <c r="N10" s="376">
        <f>Input!N$17</f>
        <v>4.4999999999999997E-3</v>
      </c>
    </row>
    <row r="11" spans="1:14" outlineLevel="1">
      <c r="A11" s="119"/>
      <c r="B11" s="374" t="s">
        <v>279</v>
      </c>
      <c r="C11" s="373"/>
      <c r="D11" s="373"/>
      <c r="E11" s="373"/>
      <c r="F11" s="375"/>
      <c r="G11" s="375">
        <v>-3.2943888094102702E-2</v>
      </c>
      <c r="H11" s="375">
        <v>4.9311690980080602E-4</v>
      </c>
      <c r="I11" s="376">
        <f>Input!I$24</f>
        <v>9.0441984638767203E-4</v>
      </c>
      <c r="J11" s="376">
        <f>Input!J$24</f>
        <v>1.87407191548596E-2</v>
      </c>
      <c r="K11" s="376">
        <f>Input!K$24</f>
        <v>1.7768005582209999E-2</v>
      </c>
      <c r="L11" s="376">
        <f>Input!L$24</f>
        <v>1.8371852692881101E-2</v>
      </c>
      <c r="M11" s="376">
        <f>Input!M$24</f>
        <v>2.55301786228894E-2</v>
      </c>
      <c r="N11" s="376">
        <f>Input!N$24</f>
        <v>1.4999999999999999E-2</v>
      </c>
    </row>
    <row r="12" spans="1:14" outlineLevel="1">
      <c r="A12" s="119"/>
      <c r="B12" s="374" t="s">
        <v>280</v>
      </c>
      <c r="C12" s="373"/>
      <c r="D12" s="373"/>
      <c r="E12" s="373"/>
      <c r="F12" s="375">
        <v>8.3496419277833897E-2</v>
      </c>
      <c r="G12" s="375">
        <v>8.2831622041727795E-2</v>
      </c>
      <c r="H12" s="375">
        <v>8.1640406749357505E-2</v>
      </c>
      <c r="I12" s="376">
        <f>Input!I$31</f>
        <v>8.1000000000000003E-2</v>
      </c>
      <c r="J12" s="376">
        <f>Input!J$31</f>
        <v>8.0500000000000002E-2</v>
      </c>
      <c r="K12" s="376">
        <f>Input!K$31</f>
        <v>0.08</v>
      </c>
      <c r="L12" s="376">
        <f>Input!L$31</f>
        <v>7.9500000000000001E-2</v>
      </c>
      <c r="M12" s="376">
        <f>Input!M$31</f>
        <v>7.9000000000000001E-2</v>
      </c>
      <c r="N12" s="376">
        <f>Input!N$31</f>
        <v>7.9000000000000001E-2</v>
      </c>
    </row>
    <row r="13" spans="1:14" outlineLevel="1">
      <c r="A13" s="119"/>
      <c r="B13" s="374" t="s">
        <v>281</v>
      </c>
      <c r="C13" s="373"/>
      <c r="D13" s="373"/>
      <c r="E13" s="373"/>
      <c r="F13" s="375">
        <v>0.18870298285984599</v>
      </c>
      <c r="G13" s="375">
        <v>0.19826170720493899</v>
      </c>
      <c r="H13" s="375">
        <v>0.19983238350653701</v>
      </c>
      <c r="I13" s="376">
        <f>Input!I$38</f>
        <v>0.2</v>
      </c>
      <c r="J13" s="376">
        <f>Input!J$38</f>
        <v>0.20100000000000001</v>
      </c>
      <c r="K13" s="376">
        <f>Input!K$38</f>
        <v>0.20100000000000001</v>
      </c>
      <c r="L13" s="376">
        <f>Input!L$38</f>
        <v>0.20200000000000001</v>
      </c>
      <c r="M13" s="376">
        <f>Input!M$38</f>
        <v>0.20300000000000001</v>
      </c>
      <c r="N13" s="376">
        <f>Input!N$38</f>
        <v>0.20300000000000001</v>
      </c>
    </row>
    <row r="14" spans="1:14" outlineLevel="1">
      <c r="A14" s="119"/>
      <c r="B14" s="374" t="s">
        <v>282</v>
      </c>
      <c r="C14" s="373"/>
      <c r="D14" s="373"/>
      <c r="E14" s="373"/>
      <c r="F14" s="375">
        <v>1.78068345555818E-2</v>
      </c>
      <c r="G14" s="375">
        <v>1.8247695776867998E-2</v>
      </c>
      <c r="H14" s="375">
        <v>1.80243602637166E-2</v>
      </c>
      <c r="I14" s="376">
        <f>Input!$F$183</f>
        <v>1.7999999999999999E-2</v>
      </c>
      <c r="J14" s="376">
        <f>Input!$F$183</f>
        <v>1.7999999999999999E-2</v>
      </c>
      <c r="K14" s="376">
        <f>Input!$F$183</f>
        <v>1.7999999999999999E-2</v>
      </c>
      <c r="L14" s="376">
        <f>Input!$F$183</f>
        <v>1.7999999999999999E-2</v>
      </c>
      <c r="M14" s="376">
        <f>Input!$F$183</f>
        <v>1.7999999999999999E-2</v>
      </c>
      <c r="N14" s="376">
        <f>Input!$F$183</f>
        <v>1.7999999999999999E-2</v>
      </c>
    </row>
    <row r="15" spans="1:14" outlineLevel="1">
      <c r="A15" s="119"/>
      <c r="B15" s="374" t="s">
        <v>283</v>
      </c>
      <c r="C15" s="373"/>
      <c r="D15" s="373"/>
      <c r="E15" s="373"/>
      <c r="F15" s="375">
        <v>1.41938536312609E-3</v>
      </c>
      <c r="G15" s="375">
        <v>1.3573570943801001E-3</v>
      </c>
      <c r="H15" s="375">
        <v>1.5085484411666099E-3</v>
      </c>
      <c r="I15" s="376">
        <f>Input!I$45</f>
        <v>1.4E-3</v>
      </c>
      <c r="J15" s="376">
        <f>Input!J$45</f>
        <v>1.4E-3</v>
      </c>
      <c r="K15" s="376">
        <f>Input!K$45</f>
        <v>1.2999999999999999E-3</v>
      </c>
      <c r="L15" s="376">
        <f>Input!L$45</f>
        <v>1.4E-3</v>
      </c>
      <c r="M15" s="376">
        <f>Input!M$45</f>
        <v>1.4E-3</v>
      </c>
      <c r="N15" s="376">
        <f>Input!N$45</f>
        <v>1.4E-3</v>
      </c>
    </row>
    <row r="16" spans="1:14" outlineLevel="1">
      <c r="A16" s="119"/>
      <c r="B16" s="374" t="s">
        <v>284</v>
      </c>
      <c r="C16" s="373"/>
      <c r="D16" s="373"/>
      <c r="E16" s="373"/>
      <c r="F16" s="375">
        <v>1.7903610830340401E-2</v>
      </c>
      <c r="G16" s="375">
        <v>1.30809816756792E-2</v>
      </c>
      <c r="H16" s="375">
        <v>2.06615264275338E-2</v>
      </c>
      <c r="I16" s="376">
        <f>Input!I$52</f>
        <v>2.4E-2</v>
      </c>
      <c r="J16" s="376">
        <f>Input!J$52</f>
        <v>1.9E-2</v>
      </c>
      <c r="K16" s="376">
        <f>Input!K$52</f>
        <v>1.4999999999999999E-2</v>
      </c>
      <c r="L16" s="376">
        <f>Input!L$52</f>
        <v>1.15E-2</v>
      </c>
      <c r="M16" s="376">
        <f>Input!M$52</f>
        <v>9.4999999999999998E-3</v>
      </c>
      <c r="N16" s="376">
        <f>Input!N$52</f>
        <v>9.4999999999999998E-3</v>
      </c>
    </row>
    <row r="17" spans="1:14" outlineLevel="1">
      <c r="A17" s="119"/>
      <c r="B17" s="374" t="s">
        <v>285</v>
      </c>
      <c r="C17" s="373"/>
      <c r="D17" s="373"/>
      <c r="E17" s="373"/>
      <c r="F17" s="375">
        <v>3.2043699864513198E-3</v>
      </c>
      <c r="G17" s="375">
        <v>5.1886069575497497E-3</v>
      </c>
      <c r="H17" s="375">
        <v>2.8271315230752E-3</v>
      </c>
      <c r="I17" s="376">
        <f>Input!I$59</f>
        <v>3.0000000000000001E-3</v>
      </c>
      <c r="J17" s="376">
        <f>Input!J$59</f>
        <v>2.8E-3</v>
      </c>
      <c r="K17" s="376">
        <f>Input!K$59</f>
        <v>2.7000000000000001E-3</v>
      </c>
      <c r="L17" s="376">
        <f>Input!L$59</f>
        <v>2.8E-3</v>
      </c>
      <c r="M17" s="376">
        <f>Input!M$59</f>
        <v>2.8E-3</v>
      </c>
      <c r="N17" s="376">
        <f>Input!N$59</f>
        <v>2.8E-3</v>
      </c>
    </row>
    <row r="18" spans="1:14" outlineLevel="1">
      <c r="A18" s="119"/>
      <c r="B18" s="374" t="s">
        <v>286</v>
      </c>
      <c r="C18" s="373"/>
      <c r="D18" s="373"/>
      <c r="E18" s="373"/>
      <c r="F18" s="375">
        <v>8.1184541603045203E-3</v>
      </c>
      <c r="G18" s="375">
        <v>4.1924819931256404E-3</v>
      </c>
      <c r="H18" s="375">
        <v>7.2745558162923196E-3</v>
      </c>
      <c r="I18" s="376">
        <f>Input!I$66</f>
        <v>6.0000000000000001E-3</v>
      </c>
      <c r="J18" s="376">
        <f>Input!J$66</f>
        <v>5.4999999999999997E-3</v>
      </c>
      <c r="K18" s="376">
        <f>Input!K$66</f>
        <v>5.1999999999999998E-3</v>
      </c>
      <c r="L18" s="376">
        <f>Input!L$66</f>
        <v>5.0000000000000001E-3</v>
      </c>
      <c r="M18" s="376">
        <f>Input!M$66</f>
        <v>4.7999999999999996E-3</v>
      </c>
      <c r="N18" s="376">
        <f>Input!N$66</f>
        <v>4.7999999999999996E-3</v>
      </c>
    </row>
    <row r="19" spans="1:14" outlineLevel="1">
      <c r="A19" s="119"/>
      <c r="B19" s="374" t="s">
        <v>287</v>
      </c>
      <c r="C19" s="373"/>
      <c r="D19" s="373"/>
      <c r="E19" s="373"/>
      <c r="F19" s="375">
        <v>0.182161694088011</v>
      </c>
      <c r="G19" s="375">
        <v>0.25032102122516797</v>
      </c>
      <c r="H19" s="375">
        <v>0.24555855269277299</v>
      </c>
      <c r="I19" s="376">
        <f>Input!$M$173</f>
        <v>0.23499999999999999</v>
      </c>
      <c r="J19" s="376">
        <f>Input!$M$173</f>
        <v>0.23499999999999999</v>
      </c>
      <c r="K19" s="376">
        <f>Input!$M$173</f>
        <v>0.23499999999999999</v>
      </c>
      <c r="L19" s="376">
        <f>Input!$M$173</f>
        <v>0.23499999999999999</v>
      </c>
      <c r="M19" s="376">
        <f>Input!$M$173</f>
        <v>0.23499999999999999</v>
      </c>
      <c r="N19" s="376">
        <f>Input!$M$173</f>
        <v>0.23499999999999999</v>
      </c>
    </row>
    <row r="20" spans="1:14" outlineLevel="1">
      <c r="A20" s="119"/>
      <c r="B20" s="374" t="s">
        <v>288</v>
      </c>
      <c r="C20" s="373"/>
      <c r="D20" s="373"/>
      <c r="E20" s="373"/>
      <c r="F20" s="373"/>
      <c r="G20" s="375">
        <v>0.11517857142857101</v>
      </c>
      <c r="H20" s="375">
        <v>-8.48678943154524E-2</v>
      </c>
      <c r="I20" s="376">
        <f>Input!I$73</f>
        <v>0.03</v>
      </c>
      <c r="J20" s="376">
        <f>Input!J$73</f>
        <v>0.04</v>
      </c>
      <c r="K20" s="376">
        <f>Input!K$73</f>
        <v>0.04</v>
      </c>
      <c r="L20" s="376">
        <f>Input!L$73</f>
        <v>0.05</v>
      </c>
      <c r="M20" s="376">
        <f>Input!M$73</f>
        <v>0.05</v>
      </c>
      <c r="N20" s="376">
        <f>Input!N$73</f>
        <v>1.4999999999999999E-2</v>
      </c>
    </row>
    <row r="21" spans="1:14" outlineLevel="1">
      <c r="A21" s="119"/>
      <c r="B21" s="374" t="s">
        <v>197</v>
      </c>
      <c r="C21" s="373"/>
      <c r="D21" s="373"/>
      <c r="E21" s="373"/>
      <c r="F21" s="375">
        <v>2.6066556607872101E-2</v>
      </c>
      <c r="G21" s="375">
        <v>2.5953105423304101E-2</v>
      </c>
      <c r="H21" s="375">
        <v>2.3881564728765899E-2</v>
      </c>
      <c r="I21" s="376">
        <f>Input!$F$182</f>
        <v>2.5000000000000001E-2</v>
      </c>
      <c r="J21" s="376">
        <f>Input!$F$182</f>
        <v>2.5000000000000001E-2</v>
      </c>
      <c r="K21" s="376">
        <f>Input!$F$182</f>
        <v>2.5000000000000001E-2</v>
      </c>
      <c r="L21" s="376">
        <f>Input!$F$182</f>
        <v>2.5000000000000001E-2</v>
      </c>
      <c r="M21" s="376">
        <f>Input!$F$182</f>
        <v>2.5000000000000001E-2</v>
      </c>
      <c r="N21" s="376">
        <f>Input!$F$182</f>
        <v>2.5000000000000001E-2</v>
      </c>
    </row>
    <row r="22" spans="1:14" outlineLevel="1">
      <c r="A22" s="119"/>
      <c r="B22" s="377" t="s">
        <v>289</v>
      </c>
      <c r="C22" s="378"/>
      <c r="D22" s="378"/>
      <c r="E22" s="378"/>
      <c r="F22" s="379">
        <f>IFERROR(F474/-(F447+F451),0)</f>
        <v>0.26735537190082642</v>
      </c>
      <c r="G22" s="379">
        <f>IFERROR(G474/-(G447+G451),0)</f>
        <v>0.36755386565272496</v>
      </c>
      <c r="H22" s="379">
        <f>IFERROR(H474/-(H447+H451),0)</f>
        <v>0.36919999999999997</v>
      </c>
      <c r="I22" s="380">
        <f>Input!I$168</f>
        <v>0.35</v>
      </c>
      <c r="J22" s="380">
        <f>Input!J$168</f>
        <v>0.35</v>
      </c>
      <c r="K22" s="380">
        <f>Input!K$168</f>
        <v>0.35</v>
      </c>
      <c r="L22" s="380">
        <f>Input!L$168</f>
        <v>0.35</v>
      </c>
      <c r="M22" s="380">
        <f>Input!M$168</f>
        <v>0.35</v>
      </c>
      <c r="N22" s="380">
        <f>Input!N$168</f>
        <v>0</v>
      </c>
    </row>
    <row r="23" spans="1:14">
      <c r="A23" s="119"/>
      <c r="B23" s="381"/>
      <c r="C23" s="381"/>
      <c r="D23" s="381"/>
      <c r="E23" s="381"/>
      <c r="F23" s="381"/>
      <c r="G23" s="381"/>
      <c r="H23" s="381"/>
      <c r="I23" s="381"/>
      <c r="J23" s="381"/>
      <c r="K23" s="381"/>
      <c r="L23" s="381"/>
      <c r="M23" s="381"/>
      <c r="N23" s="381"/>
    </row>
    <row r="24" spans="1:14">
      <c r="A24" s="118" t="s">
        <v>26</v>
      </c>
      <c r="B24" s="364" t="s">
        <v>132</v>
      </c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</row>
    <row r="25" spans="1:14" outlineLevel="1">
      <c r="A25" s="119"/>
      <c r="B25" s="373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</row>
    <row r="26" spans="1:14" ht="17.399999999999999" customHeight="1" outlineLevel="1" thickBot="1">
      <c r="A26" s="118"/>
      <c r="B26" s="369" t="str">
        <f>Input!$B$8</f>
        <v>All figures in CHF millions unless stated</v>
      </c>
      <c r="C26" s="368"/>
      <c r="D26" s="368"/>
      <c r="E26" s="368"/>
      <c r="F26" s="370">
        <f t="shared" ref="F26:N26" si="1">F$2</f>
        <v>2023</v>
      </c>
      <c r="G26" s="370">
        <f t="shared" si="1"/>
        <v>2024</v>
      </c>
      <c r="H26" s="370">
        <f t="shared" si="1"/>
        <v>2025</v>
      </c>
      <c r="I26" s="371">
        <f t="shared" si="1"/>
        <v>2026</v>
      </c>
      <c r="J26" s="371">
        <f t="shared" si="1"/>
        <v>2027</v>
      </c>
      <c r="K26" s="371">
        <f t="shared" si="1"/>
        <v>2028</v>
      </c>
      <c r="L26" s="371">
        <f t="shared" si="1"/>
        <v>2029</v>
      </c>
      <c r="M26" s="371">
        <f t="shared" si="1"/>
        <v>2030</v>
      </c>
      <c r="N26" s="372" t="str">
        <f t="shared" si="1"/>
        <v>Term</v>
      </c>
    </row>
    <row r="27" spans="1:14" ht="17.399999999999999" customHeight="1" outlineLevel="1" thickTop="1">
      <c r="A27" s="118"/>
      <c r="B27" s="369" t="str">
        <f>CONCATENATE("Model Running: ",INDEX(Input!$B$12:$B$14,Input!$D$6)," Drivers")</f>
        <v>Model Running: Base Case Drivers</v>
      </c>
      <c r="C27" s="368"/>
      <c r="D27" s="368"/>
      <c r="E27" s="368"/>
      <c r="F27" s="368"/>
      <c r="G27" s="368"/>
      <c r="H27" s="368"/>
      <c r="I27" s="368"/>
      <c r="J27" s="368"/>
      <c r="K27" s="368"/>
      <c r="L27" s="368"/>
      <c r="M27" s="368"/>
    </row>
    <row r="28" spans="1:14" outlineLevel="1">
      <c r="A28" s="119"/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</row>
    <row r="29" spans="1:14" outlineLevel="1">
      <c r="A29" s="119"/>
      <c r="B29" s="374" t="s">
        <v>290</v>
      </c>
      <c r="C29" s="373"/>
      <c r="D29" s="373"/>
      <c r="E29" s="373"/>
      <c r="F29" s="375">
        <v>0.69845659737710797</v>
      </c>
      <c r="G29" s="375">
        <v>0.71811833884601295</v>
      </c>
      <c r="H29" s="375">
        <v>0.868925052584966</v>
      </c>
      <c r="I29" s="376">
        <f>Input!I$134</f>
        <v>0.86499999999999999</v>
      </c>
      <c r="J29" s="376">
        <f>Input!J$134</f>
        <v>0.84199999999999997</v>
      </c>
      <c r="K29" s="376">
        <f>Input!K$134</f>
        <v>0.85899999999999999</v>
      </c>
      <c r="L29" s="376">
        <f>Input!L$134</f>
        <v>0.82299999999999995</v>
      </c>
      <c r="M29" s="376">
        <f>Input!M$134</f>
        <v>0.79</v>
      </c>
      <c r="N29" s="376">
        <f>Input!N$134</f>
        <v>0.79</v>
      </c>
    </row>
    <row r="30" spans="1:14" outlineLevel="1">
      <c r="A30" s="119"/>
      <c r="B30" s="374" t="s">
        <v>291</v>
      </c>
      <c r="C30" s="373"/>
      <c r="D30" s="373"/>
      <c r="E30" s="373"/>
      <c r="F30" s="375">
        <v>1.07666666666667</v>
      </c>
      <c r="G30" s="375">
        <v>0.6</v>
      </c>
      <c r="H30" s="375">
        <v>0.77828054298642502</v>
      </c>
      <c r="I30" s="376">
        <f>Input!I$155</f>
        <v>0.75</v>
      </c>
      <c r="J30" s="376">
        <f>Input!J$155</f>
        <v>0.75</v>
      </c>
      <c r="K30" s="376">
        <f>Input!K$155</f>
        <v>0.75</v>
      </c>
      <c r="L30" s="376">
        <f>Input!L$155</f>
        <v>0.75</v>
      </c>
      <c r="M30" s="376">
        <f>Input!M$155</f>
        <v>0.75</v>
      </c>
      <c r="N30" s="376">
        <f>Input!N$155</f>
        <v>0.75</v>
      </c>
    </row>
    <row r="31" spans="1:14" outlineLevel="1">
      <c r="A31" s="119"/>
      <c r="B31" s="374" t="s">
        <v>292</v>
      </c>
      <c r="C31" s="373"/>
      <c r="D31" s="373"/>
      <c r="E31" s="373"/>
      <c r="F31" s="382">
        <v>5234</v>
      </c>
      <c r="G31" s="382">
        <v>4678</v>
      </c>
      <c r="H31" s="382">
        <v>213</v>
      </c>
      <c r="I31" s="383">
        <f>IF((H549+H560+H556-H526)/(H452+H473)&gt;Input!$F$185,0,Input!I$141)</f>
        <v>0</v>
      </c>
      <c r="J31" s="383">
        <f>IF((I549+I560+I556-I526)/(I452+I473)&gt;Input!$F$185,0,Input!J$141)</f>
        <v>0</v>
      </c>
      <c r="K31" s="383">
        <f>IF((J549+J560+J556-J526)/(J452+J473)&gt;Input!$F$185,0,Input!K$141)</f>
        <v>0</v>
      </c>
      <c r="L31" s="383">
        <f>IF((K549+K560+K556-K526)/(K452+K473)&gt;Input!$F$185,0,Input!L$141)</f>
        <v>0</v>
      </c>
      <c r="M31" s="383">
        <f>IF((L549+L560+L556-L526)/(L452+L473)&gt;Input!$F$185,0,Input!M$141)</f>
        <v>2000</v>
      </c>
      <c r="N31" s="384">
        <f>Input!N$141</f>
        <v>2000</v>
      </c>
    </row>
    <row r="32" spans="1:14" outlineLevel="1">
      <c r="A32" s="119"/>
      <c r="B32" s="374" t="s">
        <v>293</v>
      </c>
      <c r="C32" s="373"/>
      <c r="D32" s="373"/>
      <c r="E32" s="373"/>
      <c r="F32" s="373"/>
      <c r="G32" s="375">
        <v>5.7992053789731102E-2</v>
      </c>
      <c r="H32" s="375">
        <v>0.19223788915258999</v>
      </c>
      <c r="I32" s="376">
        <f>Input!I$148</f>
        <v>6.5000000000000002E-2</v>
      </c>
      <c r="J32" s="376">
        <f>Input!J$148</f>
        <v>0.06</v>
      </c>
      <c r="K32" s="376">
        <f>Input!K$148</f>
        <v>0.06</v>
      </c>
      <c r="L32" s="376">
        <f>Input!L$148</f>
        <v>0.06</v>
      </c>
      <c r="M32" s="376">
        <f>Input!M$148</f>
        <v>0.06</v>
      </c>
      <c r="N32" s="376">
        <f>Input!N$148</f>
        <v>0.06</v>
      </c>
    </row>
    <row r="33" spans="1:14" outlineLevel="1">
      <c r="A33" s="119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</row>
    <row r="34" spans="1:14">
      <c r="A34" s="119"/>
      <c r="B34" s="373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</row>
    <row r="35" spans="1:14">
      <c r="A35" s="118" t="s">
        <v>26</v>
      </c>
      <c r="B35" s="364" t="s">
        <v>294</v>
      </c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</row>
    <row r="36" spans="1:14" outlineLevel="1">
      <c r="A36" s="119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</row>
    <row r="37" spans="1:14" ht="17.399999999999999" customHeight="1" outlineLevel="1" thickBot="1">
      <c r="A37" s="118"/>
      <c r="B37" s="369" t="str">
        <f>Input!$B$8</f>
        <v>All figures in CHF millions unless stated</v>
      </c>
      <c r="C37" s="368"/>
      <c r="D37" s="368"/>
      <c r="E37" s="368"/>
      <c r="F37" s="370">
        <f t="shared" ref="F37:N37" si="2">F$2</f>
        <v>2023</v>
      </c>
      <c r="G37" s="370">
        <f t="shared" si="2"/>
        <v>2024</v>
      </c>
      <c r="H37" s="370">
        <f t="shared" si="2"/>
        <v>2025</v>
      </c>
      <c r="I37" s="371">
        <f t="shared" si="2"/>
        <v>2026</v>
      </c>
      <c r="J37" s="371">
        <f t="shared" si="2"/>
        <v>2027</v>
      </c>
      <c r="K37" s="371">
        <f t="shared" si="2"/>
        <v>2028</v>
      </c>
      <c r="L37" s="371">
        <f t="shared" si="2"/>
        <v>2029</v>
      </c>
      <c r="M37" s="371">
        <f t="shared" si="2"/>
        <v>2030</v>
      </c>
      <c r="N37" s="372" t="str">
        <f t="shared" si="2"/>
        <v>Term</v>
      </c>
    </row>
    <row r="38" spans="1:14" ht="17.399999999999999" customHeight="1" outlineLevel="1" thickTop="1">
      <c r="A38" s="118"/>
      <c r="B38" s="369" t="str">
        <f>CONCATENATE("Model Running: ",INDEX(Input!$B$12:$B$14,Input!$D$6)," Drivers")</f>
        <v>Model Running: Base Case Drivers</v>
      </c>
      <c r="C38" s="368"/>
      <c r="D38" s="368"/>
      <c r="E38" s="368"/>
      <c r="F38" s="368"/>
      <c r="G38" s="368"/>
      <c r="H38" s="368"/>
      <c r="I38" s="368"/>
      <c r="J38" s="368"/>
      <c r="K38" s="368"/>
      <c r="L38" s="368"/>
      <c r="M38" s="368"/>
    </row>
    <row r="39" spans="1:14" outlineLevel="1">
      <c r="A39" s="119"/>
      <c r="B39" s="373"/>
      <c r="C39" s="373"/>
      <c r="D39" s="373"/>
      <c r="E39" s="373"/>
      <c r="F39" s="373"/>
      <c r="G39" s="373"/>
      <c r="H39" s="373"/>
      <c r="I39" s="373"/>
      <c r="J39" s="373"/>
      <c r="K39" s="373"/>
      <c r="L39" s="373"/>
      <c r="M39" s="373"/>
    </row>
    <row r="40" spans="1:14" outlineLevel="1">
      <c r="A40" s="119"/>
      <c r="B40" s="374" t="s">
        <v>166</v>
      </c>
      <c r="C40" s="373"/>
      <c r="D40" s="373"/>
      <c r="E40" s="373"/>
      <c r="F40" s="385">
        <f>Input!$F$174</f>
        <v>365</v>
      </c>
      <c r="G40" s="386">
        <f>Input!$F$174</f>
        <v>365</v>
      </c>
      <c r="H40" s="386">
        <f>Input!$F$174</f>
        <v>365</v>
      </c>
      <c r="I40" s="386">
        <f>Input!$F$174</f>
        <v>365</v>
      </c>
      <c r="J40" s="386">
        <f>Input!$F$174</f>
        <v>365</v>
      </c>
      <c r="K40" s="386">
        <f>Input!$F$174</f>
        <v>365</v>
      </c>
      <c r="L40" s="386">
        <f>Input!$F$174</f>
        <v>365</v>
      </c>
      <c r="M40" s="387">
        <f>Input!$F$174</f>
        <v>365</v>
      </c>
      <c r="N40" s="387">
        <f>Input!$F$174</f>
        <v>365</v>
      </c>
    </row>
    <row r="41" spans="1:14" outlineLevel="1">
      <c r="A41" s="119"/>
      <c r="B41" s="374" t="s">
        <v>295</v>
      </c>
      <c r="C41" s="373"/>
      <c r="D41" s="373"/>
      <c r="E41" s="373"/>
      <c r="F41" s="388">
        <f t="shared" ref="F41:N41" si="3">F440</f>
        <v>92998</v>
      </c>
      <c r="G41" s="389">
        <f t="shared" si="3"/>
        <v>91354</v>
      </c>
      <c r="H41" s="389">
        <f t="shared" si="3"/>
        <v>89490</v>
      </c>
      <c r="I41" s="389">
        <f t="shared" si="3"/>
        <v>89937.45</v>
      </c>
      <c r="J41" s="389">
        <f t="shared" si="3"/>
        <v>91286.511749999991</v>
      </c>
      <c r="K41" s="389">
        <f t="shared" si="3"/>
        <v>91742.944308749982</v>
      </c>
      <c r="L41" s="389">
        <f t="shared" si="3"/>
        <v>93577.803194924985</v>
      </c>
      <c r="M41" s="390">
        <f t="shared" si="3"/>
        <v>96197.981684382888</v>
      </c>
      <c r="N41" s="390">
        <f t="shared" si="3"/>
        <v>97640.951409648624</v>
      </c>
    </row>
    <row r="42" spans="1:14" outlineLevel="1">
      <c r="A42" s="119"/>
      <c r="B42" s="374" t="s">
        <v>69</v>
      </c>
      <c r="C42" s="373"/>
      <c r="D42" s="373"/>
      <c r="E42" s="373"/>
      <c r="F42" s="391">
        <f t="shared" ref="F42:N42" si="4">-F442</f>
        <v>50328</v>
      </c>
      <c r="G42" s="392">
        <f t="shared" si="4"/>
        <v>48670</v>
      </c>
      <c r="H42" s="392">
        <f t="shared" si="4"/>
        <v>48694</v>
      </c>
      <c r="I42" s="392">
        <f t="shared" si="4"/>
        <v>48738.039819999998</v>
      </c>
      <c r="J42" s="392">
        <f t="shared" si="4"/>
        <v>49651.425736424986</v>
      </c>
      <c r="K42" s="392">
        <f t="shared" si="4"/>
        <v>50533.63254607447</v>
      </c>
      <c r="L42" s="392">
        <f t="shared" si="4"/>
        <v>51462.02899924713</v>
      </c>
      <c r="M42" s="393">
        <f t="shared" si="4"/>
        <v>52775.863791894226</v>
      </c>
      <c r="N42" s="393">
        <f t="shared" si="4"/>
        <v>53567.501748772636</v>
      </c>
    </row>
    <row r="43" spans="1:14" outlineLevel="1">
      <c r="A43" s="119"/>
      <c r="B43" s="373"/>
      <c r="C43" s="373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</row>
    <row r="44" spans="1:14" outlineLevel="1">
      <c r="A44" s="119"/>
      <c r="B44" s="394" t="s">
        <v>296</v>
      </c>
      <c r="C44" s="395"/>
      <c r="D44" s="395"/>
      <c r="E44" s="395"/>
      <c r="F44" s="395"/>
      <c r="G44" s="395"/>
      <c r="H44" s="395"/>
      <c r="I44" s="395"/>
      <c r="J44" s="395"/>
      <c r="K44" s="395"/>
      <c r="L44" s="395"/>
      <c r="M44" s="395"/>
      <c r="N44" s="395"/>
    </row>
    <row r="45" spans="1:14" outlineLevel="1">
      <c r="A45" s="119"/>
      <c r="B45" s="374" t="s">
        <v>297</v>
      </c>
      <c r="C45" s="373"/>
      <c r="D45" s="373"/>
      <c r="E45" s="373"/>
      <c r="F45" s="396">
        <f>(F52/F41)*F40</f>
        <v>43.153347383814705</v>
      </c>
      <c r="G45" s="396">
        <f>(G52/G41)*G40</f>
        <v>44.952766162401211</v>
      </c>
      <c r="H45" s="396">
        <f>(H52/H41)*H40</f>
        <v>43.074812828248966</v>
      </c>
      <c r="I45" s="397">
        <f>Input!I86</f>
        <v>43</v>
      </c>
      <c r="J45" s="397">
        <f>Input!J86</f>
        <v>43</v>
      </c>
      <c r="K45" s="397">
        <f>Input!K86</f>
        <v>42.5</v>
      </c>
      <c r="L45" s="397">
        <f>Input!L86</f>
        <v>42</v>
      </c>
      <c r="M45" s="397">
        <f>Input!M86</f>
        <v>42</v>
      </c>
      <c r="N45" s="397">
        <f>Input!N86</f>
        <v>42</v>
      </c>
    </row>
    <row r="46" spans="1:14" outlineLevel="1">
      <c r="A46" s="119"/>
      <c r="B46" s="374" t="s">
        <v>298</v>
      </c>
      <c r="C46" s="373"/>
      <c r="D46" s="373"/>
      <c r="E46" s="373"/>
      <c r="F46" s="396">
        <f>(F53/F42)*F40</f>
        <v>86.274837068828489</v>
      </c>
      <c r="G46" s="396">
        <f>(G53/G42)*G40</f>
        <v>99.443188822683382</v>
      </c>
      <c r="H46" s="396">
        <f>(H53/H42)*H40</f>
        <v>96.043557727851478</v>
      </c>
      <c r="I46" s="397">
        <f>Input!I93</f>
        <v>93</v>
      </c>
      <c r="J46" s="397">
        <f>Input!J93</f>
        <v>91</v>
      </c>
      <c r="K46" s="397">
        <f>Input!K93</f>
        <v>89</v>
      </c>
      <c r="L46" s="397">
        <f>Input!L93</f>
        <v>88</v>
      </c>
      <c r="M46" s="397">
        <f>Input!M93</f>
        <v>87</v>
      </c>
      <c r="N46" s="397">
        <f>Input!N93</f>
        <v>87</v>
      </c>
    </row>
    <row r="47" spans="1:14" outlineLevel="1">
      <c r="A47" s="119"/>
      <c r="B47" s="374" t="s">
        <v>299</v>
      </c>
      <c r="C47" s="373"/>
      <c r="D47" s="373"/>
      <c r="E47" s="373"/>
      <c r="F47" s="396">
        <f>(F54/F42)*F40</f>
        <v>139.27555237641076</v>
      </c>
      <c r="G47" s="396">
        <f>(G54/G42)*G40</f>
        <v>163.54129854119583</v>
      </c>
      <c r="H47" s="396">
        <f>(H54/H42)*H40</f>
        <v>150.08820388548898</v>
      </c>
      <c r="I47" s="397">
        <f>Input!I100</f>
        <v>150</v>
      </c>
      <c r="J47" s="397">
        <f>Input!J100</f>
        <v>150</v>
      </c>
      <c r="K47" s="397">
        <f>Input!K100</f>
        <v>150</v>
      </c>
      <c r="L47" s="397">
        <f>Input!L100</f>
        <v>150</v>
      </c>
      <c r="M47" s="397">
        <f>Input!M100</f>
        <v>150</v>
      </c>
      <c r="N47" s="397">
        <f>Input!N100</f>
        <v>150</v>
      </c>
    </row>
    <row r="48" spans="1:14" outlineLevel="1">
      <c r="A48" s="119"/>
      <c r="B48" s="374" t="s">
        <v>300</v>
      </c>
      <c r="C48" s="373"/>
      <c r="D48" s="373"/>
      <c r="E48" s="373"/>
      <c r="F48" s="396">
        <f>(F55/F41)*F40</f>
        <v>2.0448289210520656</v>
      </c>
      <c r="G48" s="396">
        <f>(G55/G41)*G40</f>
        <v>2.1695273332311666</v>
      </c>
      <c r="H48" s="396">
        <f>(H55/H41)*H40</f>
        <v>1.9536819756397363</v>
      </c>
      <c r="I48" s="397">
        <f>Input!I107</f>
        <v>2</v>
      </c>
      <c r="J48" s="397">
        <f>Input!J107</f>
        <v>2</v>
      </c>
      <c r="K48" s="397">
        <f>Input!K107</f>
        <v>2</v>
      </c>
      <c r="L48" s="397">
        <f>Input!L107</f>
        <v>2</v>
      </c>
      <c r="M48" s="397">
        <f>Input!M107</f>
        <v>2</v>
      </c>
      <c r="N48" s="397">
        <f>Input!N107</f>
        <v>2</v>
      </c>
    </row>
    <row r="49" spans="1:14" outlineLevel="1">
      <c r="A49" s="119"/>
      <c r="B49" s="374" t="s">
        <v>301</v>
      </c>
      <c r="C49" s="373"/>
      <c r="D49" s="373"/>
      <c r="E49" s="373"/>
      <c r="F49" s="396">
        <f>(F56/F42)*F40</f>
        <v>37.074391988555078</v>
      </c>
      <c r="G49" s="396">
        <f>(G56/G42)*G40</f>
        <v>40.992192315594828</v>
      </c>
      <c r="H49" s="396">
        <f>(H56/H42)*H40</f>
        <v>41.789029449213452</v>
      </c>
      <c r="I49" s="397">
        <f>Input!I108</f>
        <v>40</v>
      </c>
      <c r="J49" s="397">
        <f>Input!J108</f>
        <v>40</v>
      </c>
      <c r="K49" s="397">
        <f>Input!K108</f>
        <v>40</v>
      </c>
      <c r="L49" s="397">
        <f>Input!L108</f>
        <v>41</v>
      </c>
      <c r="M49" s="397">
        <f>Input!M108</f>
        <v>41</v>
      </c>
      <c r="N49" s="397">
        <f>Input!N108</f>
        <v>41</v>
      </c>
    </row>
    <row r="50" spans="1:14" outlineLevel="1">
      <c r="A50" s="119"/>
      <c r="B50" s="373"/>
      <c r="C50" s="373"/>
      <c r="D50" s="373"/>
      <c r="E50" s="373"/>
      <c r="F50" s="373"/>
      <c r="G50" s="373"/>
      <c r="H50" s="373"/>
      <c r="I50" s="373"/>
      <c r="J50" s="373"/>
      <c r="K50" s="373"/>
      <c r="L50" s="373"/>
      <c r="M50" s="373"/>
      <c r="N50" s="373"/>
    </row>
    <row r="51" spans="1:14" outlineLevel="1">
      <c r="A51" s="119"/>
      <c r="B51" s="394" t="s">
        <v>302</v>
      </c>
      <c r="C51" s="395"/>
      <c r="D51" s="395"/>
      <c r="E51" s="395"/>
      <c r="F51" s="395"/>
      <c r="G51" s="395"/>
      <c r="H51" s="395"/>
      <c r="I51" s="395"/>
      <c r="J51" s="395"/>
      <c r="K51" s="395"/>
      <c r="L51" s="395"/>
      <c r="M51" s="395"/>
      <c r="N51" s="395"/>
    </row>
    <row r="52" spans="1:14" outlineLevel="1">
      <c r="A52" s="119"/>
      <c r="B52" s="374" t="s">
        <v>303</v>
      </c>
      <c r="C52" s="373"/>
      <c r="D52" s="373"/>
      <c r="E52" s="373"/>
      <c r="F52" s="382">
        <v>10995</v>
      </c>
      <c r="G52" s="382">
        <v>11251</v>
      </c>
      <c r="H52" s="382">
        <v>10561</v>
      </c>
      <c r="I52" s="389">
        <f t="shared" ref="I52:N52" si="5">(I45/I40)*I41</f>
        <v>10595.370821917808</v>
      </c>
      <c r="J52" s="389">
        <f t="shared" si="5"/>
        <v>10754.301384246575</v>
      </c>
      <c r="K52" s="389">
        <f t="shared" si="5"/>
        <v>10682.397624991436</v>
      </c>
      <c r="L52" s="389">
        <f t="shared" si="5"/>
        <v>10767.856805991369</v>
      </c>
      <c r="M52" s="389">
        <f t="shared" si="5"/>
        <v>11069.356796559126</v>
      </c>
      <c r="N52" s="389">
        <f t="shared" si="5"/>
        <v>11235.397148507513</v>
      </c>
    </row>
    <row r="53" spans="1:14" outlineLevel="1">
      <c r="A53" s="119"/>
      <c r="B53" s="374" t="s">
        <v>304</v>
      </c>
      <c r="C53" s="373"/>
      <c r="D53" s="373"/>
      <c r="E53" s="373"/>
      <c r="F53" s="382">
        <v>11896</v>
      </c>
      <c r="G53" s="382">
        <v>13260</v>
      </c>
      <c r="H53" s="382">
        <v>12813</v>
      </c>
      <c r="I53" s="389">
        <f t="shared" ref="I53:N53" si="6">(I46/I40)*I42</f>
        <v>12418.185488383562</v>
      </c>
      <c r="J53" s="389">
        <f t="shared" si="6"/>
        <v>12378.848608259381</v>
      </c>
      <c r="K53" s="389">
        <f t="shared" si="6"/>
        <v>12321.899442741445</v>
      </c>
      <c r="L53" s="389">
        <f t="shared" si="6"/>
        <v>12407.283703928075</v>
      </c>
      <c r="M53" s="389">
        <f t="shared" si="6"/>
        <v>12579.452465465198</v>
      </c>
      <c r="N53" s="389">
        <f t="shared" si="6"/>
        <v>12768.144252447177</v>
      </c>
    </row>
    <row r="54" spans="1:14" outlineLevel="1">
      <c r="A54" s="119"/>
      <c r="B54" s="374" t="s">
        <v>305</v>
      </c>
      <c r="C54" s="373"/>
      <c r="D54" s="373"/>
      <c r="E54" s="373"/>
      <c r="F54" s="382">
        <v>19204</v>
      </c>
      <c r="G54" s="382">
        <v>21807</v>
      </c>
      <c r="H54" s="382">
        <v>20023</v>
      </c>
      <c r="I54" s="389">
        <f t="shared" ref="I54:N54" si="7">(I47/I40)*I42</f>
        <v>20029.331432876712</v>
      </c>
      <c r="J54" s="389">
        <f t="shared" si="7"/>
        <v>20404.695508119858</v>
      </c>
      <c r="K54" s="389">
        <f t="shared" si="7"/>
        <v>20767.246251811426</v>
      </c>
      <c r="L54" s="389">
        <f t="shared" si="7"/>
        <v>21148.779040786492</v>
      </c>
      <c r="M54" s="389">
        <f t="shared" si="7"/>
        <v>21688.711147353792</v>
      </c>
      <c r="N54" s="389">
        <f t="shared" si="7"/>
        <v>22014.041814564094</v>
      </c>
    </row>
    <row r="55" spans="1:14" outlineLevel="1">
      <c r="A55" s="119"/>
      <c r="B55" s="374" t="s">
        <v>115</v>
      </c>
      <c r="C55" s="373"/>
      <c r="D55" s="373"/>
      <c r="E55" s="373"/>
      <c r="F55" s="382">
        <v>521</v>
      </c>
      <c r="G55" s="382">
        <v>543</v>
      </c>
      <c r="H55" s="382">
        <v>479</v>
      </c>
      <c r="I55" s="389">
        <f t="shared" ref="I55:N55" si="8">(I48/I40)*I41</f>
        <v>492.80794520547943</v>
      </c>
      <c r="J55" s="389">
        <f t="shared" si="8"/>
        <v>500.2000643835616</v>
      </c>
      <c r="K55" s="389">
        <f t="shared" si="8"/>
        <v>502.70106470547938</v>
      </c>
      <c r="L55" s="389">
        <f t="shared" si="8"/>
        <v>512.75508599958891</v>
      </c>
      <c r="M55" s="389">
        <f t="shared" si="8"/>
        <v>527.1122284075775</v>
      </c>
      <c r="N55" s="389">
        <f t="shared" si="8"/>
        <v>535.01891183369105</v>
      </c>
    </row>
    <row r="56" spans="1:14" outlineLevel="1">
      <c r="A56" s="119"/>
      <c r="B56" s="374" t="s">
        <v>117</v>
      </c>
      <c r="C56" s="373"/>
      <c r="D56" s="373"/>
      <c r="E56" s="373"/>
      <c r="F56" s="382">
        <v>5112</v>
      </c>
      <c r="G56" s="382">
        <v>5466</v>
      </c>
      <c r="H56" s="382">
        <v>5575</v>
      </c>
      <c r="I56" s="389">
        <f t="shared" ref="I56:N56" si="9">(I49/I40)*I42</f>
        <v>5341.1550487671229</v>
      </c>
      <c r="J56" s="389">
        <f t="shared" si="9"/>
        <v>5441.2521354986284</v>
      </c>
      <c r="K56" s="389">
        <f t="shared" si="9"/>
        <v>5537.9323338163804</v>
      </c>
      <c r="L56" s="389">
        <f t="shared" si="9"/>
        <v>5780.6662711483077</v>
      </c>
      <c r="M56" s="389">
        <f t="shared" si="9"/>
        <v>5928.247713610036</v>
      </c>
      <c r="N56" s="389">
        <f t="shared" si="9"/>
        <v>6017.1714293141868</v>
      </c>
    </row>
    <row r="57" spans="1:14" outlineLevel="1">
      <c r="A57" s="119"/>
      <c r="B57" s="398"/>
      <c r="C57" s="381"/>
      <c r="D57" s="381"/>
      <c r="E57" s="381"/>
      <c r="F57" s="399"/>
      <c r="G57" s="399"/>
      <c r="H57" s="399"/>
      <c r="I57" s="392"/>
      <c r="J57" s="392"/>
      <c r="K57" s="392"/>
      <c r="L57" s="392"/>
      <c r="M57" s="392"/>
      <c r="N57" s="392"/>
    </row>
    <row r="58" spans="1:14" outlineLevel="1">
      <c r="A58" s="119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</row>
    <row r="59" spans="1:14" outlineLevel="1">
      <c r="A59" s="119"/>
      <c r="B59" s="394" t="s">
        <v>306</v>
      </c>
      <c r="C59" s="395"/>
      <c r="D59" s="395"/>
      <c r="E59" s="395"/>
      <c r="F59" s="395"/>
      <c r="G59" s="395"/>
      <c r="H59" s="395"/>
      <c r="I59" s="395"/>
      <c r="J59" s="395"/>
      <c r="K59" s="395"/>
      <c r="L59" s="395"/>
      <c r="M59" s="395"/>
      <c r="N59" s="395"/>
    </row>
    <row r="60" spans="1:14" outlineLevel="1">
      <c r="A60" s="119"/>
      <c r="B60" s="374" t="s">
        <v>303</v>
      </c>
      <c r="C60" s="373"/>
      <c r="D60" s="373"/>
      <c r="E60" s="373"/>
      <c r="F60" s="400"/>
      <c r="G60" s="389">
        <f t="shared" ref="G60:N61" si="10">F52-G52</f>
        <v>-256</v>
      </c>
      <c r="H60" s="389">
        <f t="shared" si="10"/>
        <v>690</v>
      </c>
      <c r="I60" s="389">
        <f t="shared" si="10"/>
        <v>-34.370821917807916</v>
      </c>
      <c r="J60" s="389">
        <f t="shared" si="10"/>
        <v>-158.93056232876734</v>
      </c>
      <c r="K60" s="389">
        <f t="shared" si="10"/>
        <v>71.903759255139448</v>
      </c>
      <c r="L60" s="389">
        <f t="shared" si="10"/>
        <v>-85.459180999932869</v>
      </c>
      <c r="M60" s="389">
        <f t="shared" si="10"/>
        <v>-301.49999056775778</v>
      </c>
      <c r="N60" s="389">
        <f t="shared" si="10"/>
        <v>-166.04035194838616</v>
      </c>
    </row>
    <row r="61" spans="1:14" outlineLevel="1">
      <c r="A61" s="119"/>
      <c r="B61" s="374" t="s">
        <v>304</v>
      </c>
      <c r="C61" s="373"/>
      <c r="D61" s="373"/>
      <c r="E61" s="373"/>
      <c r="F61" s="400"/>
      <c r="G61" s="389">
        <f t="shared" si="10"/>
        <v>-1364</v>
      </c>
      <c r="H61" s="389">
        <f t="shared" si="10"/>
        <v>447</v>
      </c>
      <c r="I61" s="389">
        <f t="shared" si="10"/>
        <v>394.81451161643781</v>
      </c>
      <c r="J61" s="389">
        <f t="shared" si="10"/>
        <v>39.336880124181334</v>
      </c>
      <c r="K61" s="389">
        <f t="shared" si="10"/>
        <v>56.949165517935398</v>
      </c>
      <c r="L61" s="389">
        <f t="shared" si="10"/>
        <v>-85.384261186629374</v>
      </c>
      <c r="M61" s="389">
        <f t="shared" si="10"/>
        <v>-172.16876153712292</v>
      </c>
      <c r="N61" s="389">
        <f t="shared" si="10"/>
        <v>-188.69178698197902</v>
      </c>
    </row>
    <row r="62" spans="1:14" outlineLevel="1">
      <c r="A62" s="119"/>
      <c r="B62" s="374" t="s">
        <v>115</v>
      </c>
      <c r="C62" s="373"/>
      <c r="D62" s="373"/>
      <c r="E62" s="373"/>
      <c r="F62" s="400"/>
      <c r="G62" s="389">
        <f t="shared" ref="G62:N62" si="11">F55-G55</f>
        <v>-22</v>
      </c>
      <c r="H62" s="389">
        <f t="shared" si="11"/>
        <v>64</v>
      </c>
      <c r="I62" s="389">
        <f t="shared" si="11"/>
        <v>-13.807945205479427</v>
      </c>
      <c r="J62" s="389">
        <f t="shared" si="11"/>
        <v>-7.3921191780821687</v>
      </c>
      <c r="K62" s="389">
        <f t="shared" si="11"/>
        <v>-2.5010003219177861</v>
      </c>
      <c r="L62" s="389">
        <f t="shared" si="11"/>
        <v>-10.054021294109532</v>
      </c>
      <c r="M62" s="389">
        <f t="shared" si="11"/>
        <v>-14.35714240798859</v>
      </c>
      <c r="N62" s="389">
        <f t="shared" si="11"/>
        <v>-7.9066834261135455</v>
      </c>
    </row>
    <row r="63" spans="1:14" outlineLevel="1">
      <c r="A63" s="119"/>
      <c r="B63" s="374" t="s">
        <v>305</v>
      </c>
      <c r="C63" s="373"/>
      <c r="D63" s="373"/>
      <c r="E63" s="373"/>
      <c r="F63" s="400"/>
      <c r="G63" s="389">
        <f t="shared" ref="G63:N63" si="12">G54-F54</f>
        <v>2603</v>
      </c>
      <c r="H63" s="389">
        <f t="shared" si="12"/>
        <v>-1784</v>
      </c>
      <c r="I63" s="389">
        <f t="shared" si="12"/>
        <v>6.331432876711915</v>
      </c>
      <c r="J63" s="389">
        <f t="shared" si="12"/>
        <v>375.36407524314563</v>
      </c>
      <c r="K63" s="389">
        <f t="shared" si="12"/>
        <v>362.55074369156864</v>
      </c>
      <c r="L63" s="389">
        <f t="shared" si="12"/>
        <v>381.53278897506607</v>
      </c>
      <c r="M63" s="389">
        <f t="shared" si="12"/>
        <v>539.93210656729934</v>
      </c>
      <c r="N63" s="389">
        <f t="shared" si="12"/>
        <v>325.33066721030264</v>
      </c>
    </row>
    <row r="64" spans="1:14" outlineLevel="1">
      <c r="A64" s="119"/>
      <c r="B64" s="374" t="s">
        <v>117</v>
      </c>
      <c r="C64" s="373"/>
      <c r="D64" s="373"/>
      <c r="E64" s="373"/>
      <c r="F64" s="400"/>
      <c r="G64" s="389">
        <f t="shared" ref="G64:N64" si="13">G56-F56</f>
        <v>354</v>
      </c>
      <c r="H64" s="389">
        <f t="shared" si="13"/>
        <v>109</v>
      </c>
      <c r="I64" s="389">
        <f t="shared" si="13"/>
        <v>-233.84495123287707</v>
      </c>
      <c r="J64" s="389">
        <f t="shared" si="13"/>
        <v>100.09708673150544</v>
      </c>
      <c r="K64" s="389">
        <f t="shared" si="13"/>
        <v>96.680198317752001</v>
      </c>
      <c r="L64" s="389">
        <f t="shared" si="13"/>
        <v>242.73393733192734</v>
      </c>
      <c r="M64" s="389">
        <f t="shared" si="13"/>
        <v>147.58144246172833</v>
      </c>
      <c r="N64" s="389">
        <f t="shared" si="13"/>
        <v>88.923715704150709</v>
      </c>
    </row>
    <row r="65" spans="1:14" ht="17.399999999999999" customHeight="1" outlineLevel="1" thickBot="1">
      <c r="A65" s="119"/>
      <c r="B65" s="374" t="s">
        <v>307</v>
      </c>
      <c r="C65" s="373"/>
      <c r="D65" s="373"/>
      <c r="E65" s="373"/>
      <c r="F65" s="400"/>
      <c r="G65" s="401">
        <f t="shared" ref="G65:N65" si="14">G60+G61+G62+G63+G64</f>
        <v>1315</v>
      </c>
      <c r="H65" s="401">
        <f t="shared" si="14"/>
        <v>-474</v>
      </c>
      <c r="I65" s="401">
        <f t="shared" si="14"/>
        <v>119.12222613698532</v>
      </c>
      <c r="J65" s="401">
        <f t="shared" si="14"/>
        <v>348.47536059198291</v>
      </c>
      <c r="K65" s="401">
        <f t="shared" si="14"/>
        <v>585.5828664604777</v>
      </c>
      <c r="L65" s="401">
        <f t="shared" si="14"/>
        <v>443.36926282632163</v>
      </c>
      <c r="M65" s="401">
        <f t="shared" si="14"/>
        <v>199.48765451615839</v>
      </c>
      <c r="N65" s="401">
        <f t="shared" si="14"/>
        <v>51.615560557974618</v>
      </c>
    </row>
    <row r="66" spans="1:14" ht="17.399999999999999" customHeight="1" outlineLevel="1" thickTop="1">
      <c r="A66" s="119"/>
      <c r="B66" s="398"/>
      <c r="C66" s="381"/>
      <c r="D66" s="381"/>
      <c r="E66" s="381"/>
      <c r="F66" s="399"/>
      <c r="G66" s="399"/>
      <c r="H66" s="399"/>
      <c r="I66" s="392"/>
      <c r="J66" s="392"/>
      <c r="K66" s="392"/>
      <c r="L66" s="392"/>
      <c r="M66" s="392"/>
      <c r="N66" s="392"/>
    </row>
    <row r="67" spans="1:14">
      <c r="A67" s="119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</row>
    <row r="68" spans="1:14">
      <c r="A68" s="118" t="s">
        <v>26</v>
      </c>
      <c r="B68" s="364" t="s">
        <v>308</v>
      </c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</row>
    <row r="69" spans="1:14" outlineLevel="1">
      <c r="A69" s="119"/>
      <c r="B69" s="373"/>
      <c r="C69" s="373"/>
      <c r="D69" s="373"/>
      <c r="E69" s="373"/>
      <c r="F69" s="373"/>
      <c r="G69" s="373"/>
      <c r="H69" s="373"/>
      <c r="I69" s="373"/>
      <c r="J69" s="373"/>
      <c r="K69" s="373"/>
      <c r="L69" s="373"/>
      <c r="M69" s="373"/>
    </row>
    <row r="70" spans="1:14" ht="17.399999999999999" customHeight="1" outlineLevel="1" thickBot="1">
      <c r="A70" s="118"/>
      <c r="B70" s="369" t="str">
        <f>Input!$B$8</f>
        <v>All figures in CHF millions unless stated</v>
      </c>
      <c r="C70" s="368"/>
      <c r="D70" s="368"/>
      <c r="E70" s="368"/>
      <c r="F70" s="370">
        <f t="shared" ref="F70:N70" si="15">F$2</f>
        <v>2023</v>
      </c>
      <c r="G70" s="370">
        <f t="shared" si="15"/>
        <v>2024</v>
      </c>
      <c r="H70" s="370">
        <f t="shared" si="15"/>
        <v>2025</v>
      </c>
      <c r="I70" s="371">
        <f t="shared" si="15"/>
        <v>2026</v>
      </c>
      <c r="J70" s="371">
        <f t="shared" si="15"/>
        <v>2027</v>
      </c>
      <c r="K70" s="371">
        <f t="shared" si="15"/>
        <v>2028</v>
      </c>
      <c r="L70" s="371">
        <f t="shared" si="15"/>
        <v>2029</v>
      </c>
      <c r="M70" s="371">
        <f t="shared" si="15"/>
        <v>2030</v>
      </c>
      <c r="N70" s="372" t="str">
        <f t="shared" si="15"/>
        <v>Term</v>
      </c>
    </row>
    <row r="71" spans="1:14" ht="17.399999999999999" customHeight="1" outlineLevel="1" thickTop="1">
      <c r="A71" s="118"/>
      <c r="B71" s="369" t="str">
        <f>CONCATENATE("Model Running: ",INDEX(Input!$B$12:$B$14,Input!$D$6)," Drivers")</f>
        <v>Model Running: Base Case Drivers</v>
      </c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</row>
    <row r="72" spans="1:14" outlineLevel="1">
      <c r="A72" s="119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</row>
    <row r="73" spans="1:14" outlineLevel="1">
      <c r="A73" s="120"/>
      <c r="B73" s="394" t="s">
        <v>309</v>
      </c>
      <c r="C73" s="402"/>
      <c r="D73" s="402"/>
      <c r="E73" s="402"/>
      <c r="F73" s="402"/>
      <c r="G73" s="402"/>
      <c r="H73" s="402"/>
      <c r="I73" s="402"/>
      <c r="J73" s="402"/>
      <c r="K73" s="402"/>
      <c r="L73" s="402"/>
      <c r="M73" s="402"/>
    </row>
    <row r="74" spans="1:14" outlineLevel="1">
      <c r="A74" s="119"/>
      <c r="B74" s="374" t="s">
        <v>310</v>
      </c>
      <c r="C74" s="373"/>
      <c r="D74" s="373"/>
      <c r="E74" s="373"/>
      <c r="F74" s="403">
        <f>-F490/F440</f>
        <v>6.1442181552291447E-2</v>
      </c>
      <c r="G74" s="404">
        <f>-G490/G440</f>
        <v>6.1715962081572782E-2</v>
      </c>
      <c r="H74" s="404">
        <f>-H490/H440</f>
        <v>5.058665772712035E-2</v>
      </c>
      <c r="I74" s="405">
        <f>Input!I116</f>
        <v>4.9000000000000002E-2</v>
      </c>
      <c r="J74" s="405">
        <f>Input!J116</f>
        <v>4.8000000000000001E-2</v>
      </c>
      <c r="K74" s="405">
        <f>Input!K116</f>
        <v>4.8000000000000001E-2</v>
      </c>
      <c r="L74" s="405">
        <f>Input!L116</f>
        <v>4.7E-2</v>
      </c>
      <c r="M74" s="406">
        <f>Input!M116</f>
        <v>4.7E-2</v>
      </c>
      <c r="N74" s="406">
        <f>Input!N116</f>
        <v>4.2219177676514348E-2</v>
      </c>
    </row>
    <row r="75" spans="1:14" outlineLevel="1">
      <c r="A75" s="119"/>
      <c r="B75" s="374" t="s">
        <v>311</v>
      </c>
      <c r="C75" s="373"/>
      <c r="D75" s="373"/>
      <c r="E75" s="373"/>
      <c r="F75" s="391">
        <f t="shared" ref="F75:N75" si="16">-F440*F74</f>
        <v>-5714</v>
      </c>
      <c r="G75" s="392">
        <f t="shared" si="16"/>
        <v>-5638</v>
      </c>
      <c r="H75" s="392">
        <f t="shared" si="16"/>
        <v>-4527</v>
      </c>
      <c r="I75" s="392">
        <f t="shared" si="16"/>
        <v>-4406.93505</v>
      </c>
      <c r="J75" s="392">
        <f t="shared" si="16"/>
        <v>-4381.7525639999994</v>
      </c>
      <c r="K75" s="392">
        <f t="shared" si="16"/>
        <v>-4403.661326819999</v>
      </c>
      <c r="L75" s="392">
        <f t="shared" si="16"/>
        <v>-4398.1567501614745</v>
      </c>
      <c r="M75" s="393">
        <f t="shared" si="16"/>
        <v>-4521.3051391659956</v>
      </c>
      <c r="N75" s="393">
        <f t="shared" si="16"/>
        <v>-4122.3206760678595</v>
      </c>
    </row>
    <row r="76" spans="1:14" outlineLevel="1">
      <c r="A76" s="119"/>
      <c r="B76" s="374"/>
      <c r="C76" s="373"/>
      <c r="D76" s="373"/>
      <c r="E76" s="373"/>
      <c r="F76" s="389"/>
      <c r="G76" s="389"/>
      <c r="H76" s="389"/>
      <c r="I76" s="389"/>
      <c r="J76" s="389"/>
      <c r="K76" s="389"/>
      <c r="L76" s="389"/>
      <c r="M76" s="389"/>
      <c r="N76" s="389"/>
    </row>
    <row r="77" spans="1:14" outlineLevel="1">
      <c r="A77" s="119"/>
      <c r="B77" s="374" t="s">
        <v>312</v>
      </c>
      <c r="C77" s="373"/>
      <c r="D77" s="373"/>
      <c r="E77" s="373"/>
      <c r="F77" s="403">
        <f>-F491/F440</f>
        <v>5.2581775952171015E-3</v>
      </c>
      <c r="G77" s="404">
        <f>-G491/G440</f>
        <v>3.5575891586575301E-3</v>
      </c>
      <c r="H77" s="404">
        <f>-H491/H440</f>
        <v>4.2909822326516927E-3</v>
      </c>
      <c r="I77" s="405">
        <f>Input!I123</f>
        <v>4.0000000000000001E-3</v>
      </c>
      <c r="J77" s="405">
        <f>Input!J123</f>
        <v>4.0000000000000001E-3</v>
      </c>
      <c r="K77" s="405">
        <f>Input!K123</f>
        <v>4.0000000000000001E-3</v>
      </c>
      <c r="L77" s="405">
        <f>Input!L123</f>
        <v>4.4999999999999997E-3</v>
      </c>
      <c r="M77" s="406">
        <f>Input!M123</f>
        <v>4.4999999999999997E-3</v>
      </c>
      <c r="N77" s="406">
        <f>Input!N123</f>
        <v>4.4999999999999997E-3</v>
      </c>
    </row>
    <row r="78" spans="1:14" outlineLevel="1">
      <c r="A78" s="119"/>
      <c r="B78" s="374" t="s">
        <v>313</v>
      </c>
      <c r="C78" s="373"/>
      <c r="D78" s="373"/>
      <c r="E78" s="373"/>
      <c r="F78" s="391">
        <f t="shared" ref="F78:N78" si="17">-F440*F77</f>
        <v>-489</v>
      </c>
      <c r="G78" s="392">
        <f t="shared" si="17"/>
        <v>-325</v>
      </c>
      <c r="H78" s="392">
        <f t="shared" si="17"/>
        <v>-384</v>
      </c>
      <c r="I78" s="392">
        <f t="shared" si="17"/>
        <v>-359.74979999999999</v>
      </c>
      <c r="J78" s="392">
        <f t="shared" si="17"/>
        <v>-365.14604699999995</v>
      </c>
      <c r="K78" s="392">
        <f t="shared" si="17"/>
        <v>-366.97177723499993</v>
      </c>
      <c r="L78" s="392">
        <f t="shared" si="17"/>
        <v>-421.10011437716241</v>
      </c>
      <c r="M78" s="393">
        <f t="shared" si="17"/>
        <v>-432.89091757972295</v>
      </c>
      <c r="N78" s="393">
        <f t="shared" si="17"/>
        <v>-439.38428134341876</v>
      </c>
    </row>
    <row r="79" spans="1:14" outlineLevel="1">
      <c r="A79" s="119"/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</row>
    <row r="80" spans="1:14" outlineLevel="1">
      <c r="A80" s="120"/>
      <c r="B80" s="394" t="s">
        <v>314</v>
      </c>
      <c r="C80" s="402"/>
      <c r="D80" s="402"/>
      <c r="E80" s="402"/>
      <c r="F80" s="402"/>
      <c r="G80" s="402"/>
      <c r="H80" s="402"/>
      <c r="I80" s="402"/>
      <c r="J80" s="402"/>
      <c r="K80" s="402"/>
      <c r="L80" s="402"/>
      <c r="M80" s="402"/>
      <c r="N80" s="402"/>
    </row>
    <row r="81" spans="1:14" outlineLevel="1">
      <c r="A81" s="119"/>
      <c r="B81" s="374" t="s">
        <v>315</v>
      </c>
      <c r="C81" s="373"/>
      <c r="D81" s="373"/>
      <c r="E81" s="373"/>
      <c r="F81" s="373"/>
      <c r="G81" s="375">
        <v>7.3564445904871406E-2</v>
      </c>
      <c r="H81" s="375">
        <v>6.8610602254914901E-2</v>
      </c>
      <c r="I81" s="376">
        <f>Input!I124</f>
        <v>7.0000000000000007E-2</v>
      </c>
      <c r="J81" s="376">
        <f>Input!J124</f>
        <v>6.9000000000000006E-2</v>
      </c>
      <c r="K81" s="376">
        <f>Input!K124</f>
        <v>6.8000000000000005E-2</v>
      </c>
      <c r="L81" s="376">
        <f>Input!L124</f>
        <v>6.7000000000000004E-2</v>
      </c>
      <c r="M81" s="376">
        <f>Input!M124</f>
        <v>6.7000000000000004E-2</v>
      </c>
      <c r="N81" s="376">
        <f>Input!N124</f>
        <v>6.7000000000000004E-2</v>
      </c>
    </row>
    <row r="82" spans="1:14" outlineLevel="1">
      <c r="A82" s="119"/>
      <c r="B82" s="374" t="s">
        <v>316</v>
      </c>
      <c r="C82" s="373"/>
      <c r="D82" s="373"/>
      <c r="E82" s="373"/>
      <c r="F82" s="375">
        <v>0.85</v>
      </c>
      <c r="G82" s="375">
        <v>0.85</v>
      </c>
      <c r="H82" s="375">
        <v>0.85</v>
      </c>
      <c r="I82" s="376">
        <f>Input!I125</f>
        <v>0.85</v>
      </c>
      <c r="J82" s="376">
        <f>Input!J125</f>
        <v>0.85</v>
      </c>
      <c r="K82" s="376">
        <f>Input!K125</f>
        <v>0.85</v>
      </c>
      <c r="L82" s="376">
        <f>Input!L125</f>
        <v>0.85</v>
      </c>
      <c r="M82" s="376">
        <f>Input!M125</f>
        <v>0.85</v>
      </c>
      <c r="N82" s="376">
        <f>Input!N125</f>
        <v>0.85</v>
      </c>
    </row>
    <row r="83" spans="1:14" outlineLevel="1">
      <c r="A83" s="119"/>
      <c r="B83" s="374" t="s">
        <v>317</v>
      </c>
      <c r="C83" s="373"/>
      <c r="D83" s="373"/>
      <c r="E83" s="373"/>
      <c r="F83" s="407">
        <f t="shared" ref="F83:N83" si="18">F97</f>
        <v>30467</v>
      </c>
      <c r="G83" s="407">
        <f t="shared" si="18"/>
        <v>33706</v>
      </c>
      <c r="H83" s="407">
        <f t="shared" si="18"/>
        <v>32549</v>
      </c>
      <c r="I83" s="407">
        <f t="shared" si="18"/>
        <v>34027.226049999997</v>
      </c>
      <c r="J83" s="407">
        <f t="shared" si="18"/>
        <v>35444.6231685475</v>
      </c>
      <c r="K83" s="407">
        <f t="shared" si="18"/>
        <v>36854.096153612474</v>
      </c>
      <c r="L83" s="407">
        <f t="shared" si="18"/>
        <v>38231.019807136974</v>
      </c>
      <c r="M83" s="407">
        <f t="shared" si="18"/>
        <v>39659.057788705199</v>
      </c>
      <c r="N83" s="407">
        <f t="shared" si="18"/>
        <v>40613.218741302662</v>
      </c>
    </row>
    <row r="84" spans="1:14" outlineLevel="1">
      <c r="A84" s="119"/>
      <c r="B84" s="374" t="s">
        <v>318</v>
      </c>
      <c r="C84" s="373"/>
      <c r="D84" s="373"/>
      <c r="E84" s="373"/>
      <c r="F84" s="407">
        <f t="shared" ref="F84:N84" si="19">F103</f>
        <v>18225</v>
      </c>
      <c r="G84" s="407">
        <f t="shared" si="19"/>
        <v>19245</v>
      </c>
      <c r="H84" s="407">
        <f t="shared" si="19"/>
        <v>16673</v>
      </c>
      <c r="I84" s="407">
        <f t="shared" si="19"/>
        <v>16515.918799999999</v>
      </c>
      <c r="J84" s="407">
        <f t="shared" si="19"/>
        <v>16357.943297802498</v>
      </c>
      <c r="K84" s="407">
        <f t="shared" si="19"/>
        <v>16196.528897080727</v>
      </c>
      <c r="L84" s="407">
        <f t="shared" si="19"/>
        <v>16084.470229698421</v>
      </c>
      <c r="M84" s="407">
        <f t="shared" si="19"/>
        <v>15971.49047240795</v>
      </c>
      <c r="N84" s="407">
        <f t="shared" si="19"/>
        <v>15851.787743727182</v>
      </c>
    </row>
    <row r="85" spans="1:14" outlineLevel="1">
      <c r="A85" s="119"/>
      <c r="B85" s="374"/>
      <c r="C85" s="373"/>
      <c r="D85" s="373"/>
      <c r="E85" s="373"/>
      <c r="F85" s="375"/>
      <c r="G85" s="408"/>
      <c r="H85" s="375"/>
      <c r="I85" s="376"/>
      <c r="J85" s="376"/>
      <c r="K85" s="376"/>
      <c r="L85" s="376"/>
      <c r="M85" s="376"/>
      <c r="N85" s="376"/>
    </row>
    <row r="86" spans="1:14" outlineLevel="1">
      <c r="A86" s="119"/>
      <c r="B86" s="374" t="s">
        <v>319</v>
      </c>
      <c r="C86" s="373"/>
      <c r="D86" s="373"/>
      <c r="E86" s="373"/>
      <c r="F86" s="400"/>
      <c r="G86" s="389">
        <f t="shared" ref="G86:N86" si="20">G81*(F83+F84)</f>
        <v>3581.9999999999986</v>
      </c>
      <c r="H86" s="389">
        <f t="shared" si="20"/>
        <v>3632.9999999999991</v>
      </c>
      <c r="I86" s="389">
        <f t="shared" si="20"/>
        <v>3445.5400000000004</v>
      </c>
      <c r="J86" s="389">
        <f t="shared" si="20"/>
        <v>3487.4769946500001</v>
      </c>
      <c r="K86" s="389">
        <f t="shared" si="20"/>
        <v>3522.5745197118003</v>
      </c>
      <c r="L86" s="389">
        <f t="shared" si="20"/>
        <v>3554.3918783964446</v>
      </c>
      <c r="M86" s="389">
        <f t="shared" si="20"/>
        <v>3639.1378324679717</v>
      </c>
      <c r="N86" s="389">
        <f t="shared" si="20"/>
        <v>3727.2467334945809</v>
      </c>
    </row>
    <row r="87" spans="1:14" outlineLevel="1">
      <c r="A87" s="119"/>
      <c r="B87" s="374" t="s">
        <v>320</v>
      </c>
      <c r="C87" s="373"/>
      <c r="D87" s="373"/>
      <c r="E87" s="373"/>
      <c r="F87" s="400"/>
      <c r="G87" s="389">
        <f t="shared" ref="G87:N87" si="21">G82*G86</f>
        <v>3044.6999999999989</v>
      </c>
      <c r="H87" s="389">
        <f t="shared" si="21"/>
        <v>3088.0499999999993</v>
      </c>
      <c r="I87" s="389">
        <f t="shared" si="21"/>
        <v>2928.7090000000003</v>
      </c>
      <c r="J87" s="389">
        <f t="shared" si="21"/>
        <v>2964.3554454525001</v>
      </c>
      <c r="K87" s="389">
        <f t="shared" si="21"/>
        <v>2994.1883417550303</v>
      </c>
      <c r="L87" s="389">
        <f t="shared" si="21"/>
        <v>3021.2330966369777</v>
      </c>
      <c r="M87" s="389">
        <f t="shared" si="21"/>
        <v>3093.2671575977761</v>
      </c>
      <c r="N87" s="389">
        <f t="shared" si="21"/>
        <v>3168.1597234703936</v>
      </c>
    </row>
    <row r="88" spans="1:14" outlineLevel="1">
      <c r="A88" s="119"/>
      <c r="B88" s="374" t="s">
        <v>321</v>
      </c>
      <c r="C88" s="373"/>
      <c r="D88" s="373"/>
      <c r="E88" s="373"/>
      <c r="F88" s="400"/>
      <c r="G88" s="389">
        <f t="shared" ref="G88:N88" si="22">G86-G87</f>
        <v>537.29999999999973</v>
      </c>
      <c r="H88" s="389">
        <f t="shared" si="22"/>
        <v>544.94999999999982</v>
      </c>
      <c r="I88" s="389">
        <f t="shared" si="22"/>
        <v>516.83100000000013</v>
      </c>
      <c r="J88" s="389">
        <f t="shared" si="22"/>
        <v>523.12154919749992</v>
      </c>
      <c r="K88" s="389">
        <f t="shared" si="22"/>
        <v>528.3861779567701</v>
      </c>
      <c r="L88" s="389">
        <f t="shared" si="22"/>
        <v>533.15878175946682</v>
      </c>
      <c r="M88" s="389">
        <f t="shared" si="22"/>
        <v>545.87067487019567</v>
      </c>
      <c r="N88" s="389">
        <f t="shared" si="22"/>
        <v>559.08701002418729</v>
      </c>
    </row>
    <row r="89" spans="1:14" outlineLevel="1">
      <c r="A89" s="119"/>
      <c r="B89" s="374"/>
      <c r="C89" s="373"/>
      <c r="D89" s="373"/>
      <c r="E89" s="373"/>
      <c r="F89" s="400"/>
      <c r="G89" s="389"/>
      <c r="H89" s="389"/>
      <c r="I89" s="389"/>
      <c r="J89" s="389"/>
      <c r="K89" s="389"/>
      <c r="L89" s="389"/>
      <c r="M89" s="389"/>
      <c r="N89" s="389"/>
    </row>
    <row r="90" spans="1:14" outlineLevel="1">
      <c r="A90" s="119"/>
      <c r="B90" s="398"/>
      <c r="C90" s="381"/>
      <c r="D90" s="381"/>
      <c r="E90" s="381"/>
      <c r="F90" s="409"/>
      <c r="G90" s="392"/>
      <c r="H90" s="392"/>
      <c r="I90" s="392"/>
      <c r="J90" s="392"/>
      <c r="K90" s="392"/>
      <c r="L90" s="392"/>
      <c r="M90" s="392"/>
      <c r="N90" s="392"/>
    </row>
    <row r="91" spans="1:14" outlineLevel="1">
      <c r="A91" s="119"/>
      <c r="B91" s="373"/>
      <c r="C91" s="373"/>
      <c r="D91" s="373"/>
      <c r="E91" s="373"/>
      <c r="F91" s="373"/>
      <c r="G91" s="373"/>
      <c r="H91" s="373"/>
      <c r="I91" s="373"/>
      <c r="J91" s="373"/>
      <c r="K91" s="373"/>
      <c r="L91" s="373"/>
      <c r="M91" s="373"/>
      <c r="N91" s="373"/>
    </row>
    <row r="92" spans="1:14" outlineLevel="1">
      <c r="A92" s="120"/>
      <c r="B92" s="394" t="s">
        <v>322</v>
      </c>
      <c r="C92" s="402"/>
      <c r="D92" s="402"/>
      <c r="E92" s="402"/>
      <c r="F92" s="402"/>
      <c r="G92" s="410"/>
      <c r="H92" s="410"/>
      <c r="I92" s="410"/>
      <c r="J92" s="410"/>
      <c r="K92" s="410"/>
      <c r="L92" s="410"/>
      <c r="M92" s="410"/>
      <c r="N92" s="410"/>
    </row>
    <row r="93" spans="1:14" outlineLevel="1">
      <c r="A93" s="119"/>
      <c r="B93" s="377" t="s">
        <v>323</v>
      </c>
      <c r="C93" s="378"/>
      <c r="D93" s="378"/>
      <c r="E93" s="378"/>
      <c r="F93" s="411"/>
      <c r="G93" s="407">
        <f t="shared" ref="G93:N93" si="23">F97</f>
        <v>30467</v>
      </c>
      <c r="H93" s="407">
        <f t="shared" si="23"/>
        <v>33706</v>
      </c>
      <c r="I93" s="407">
        <f t="shared" si="23"/>
        <v>32549</v>
      </c>
      <c r="J93" s="407">
        <f t="shared" si="23"/>
        <v>34027.226049999997</v>
      </c>
      <c r="K93" s="407">
        <f t="shared" si="23"/>
        <v>35444.6231685475</v>
      </c>
      <c r="L93" s="407">
        <f t="shared" si="23"/>
        <v>36854.096153612474</v>
      </c>
      <c r="M93" s="407">
        <f t="shared" si="23"/>
        <v>38231.019807136974</v>
      </c>
      <c r="N93" s="407">
        <f t="shared" si="23"/>
        <v>39659.057788705199</v>
      </c>
    </row>
    <row r="94" spans="1:14" outlineLevel="1">
      <c r="A94" s="119"/>
      <c r="B94" s="377" t="s">
        <v>309</v>
      </c>
      <c r="C94" s="378"/>
      <c r="D94" s="378"/>
      <c r="E94" s="378"/>
      <c r="F94" s="411"/>
      <c r="G94" s="407">
        <f t="shared" ref="G94:N94" si="24">-G75</f>
        <v>5638</v>
      </c>
      <c r="H94" s="407">
        <f t="shared" si="24"/>
        <v>4527</v>
      </c>
      <c r="I94" s="407">
        <f t="shared" si="24"/>
        <v>4406.93505</v>
      </c>
      <c r="J94" s="407">
        <f t="shared" si="24"/>
        <v>4381.7525639999994</v>
      </c>
      <c r="K94" s="407">
        <f t="shared" si="24"/>
        <v>4403.661326819999</v>
      </c>
      <c r="L94" s="407">
        <f t="shared" si="24"/>
        <v>4398.1567501614745</v>
      </c>
      <c r="M94" s="407">
        <f t="shared" si="24"/>
        <v>4521.3051391659956</v>
      </c>
      <c r="N94" s="407">
        <f t="shared" si="24"/>
        <v>4122.3206760678595</v>
      </c>
    </row>
    <row r="95" spans="1:14" outlineLevel="1">
      <c r="A95" s="119"/>
      <c r="B95" s="377" t="s">
        <v>324</v>
      </c>
      <c r="C95" s="378"/>
      <c r="D95" s="378"/>
      <c r="E95" s="378"/>
      <c r="F95" s="411"/>
      <c r="G95" s="407">
        <f t="shared" ref="G95:N95" si="25">-G87</f>
        <v>-3044.6999999999989</v>
      </c>
      <c r="H95" s="407">
        <f t="shared" si="25"/>
        <v>-3088.0499999999993</v>
      </c>
      <c r="I95" s="407">
        <f t="shared" si="25"/>
        <v>-2928.7090000000003</v>
      </c>
      <c r="J95" s="407">
        <f t="shared" si="25"/>
        <v>-2964.3554454525001</v>
      </c>
      <c r="K95" s="407">
        <f t="shared" si="25"/>
        <v>-2994.1883417550303</v>
      </c>
      <c r="L95" s="407">
        <f t="shared" si="25"/>
        <v>-3021.2330966369777</v>
      </c>
      <c r="M95" s="407">
        <f t="shared" si="25"/>
        <v>-3093.2671575977761</v>
      </c>
      <c r="N95" s="407">
        <f t="shared" si="25"/>
        <v>-3168.1597234703936</v>
      </c>
    </row>
    <row r="96" spans="1:14" ht="17.399999999999999" outlineLevel="1" thickBot="1">
      <c r="A96" s="119"/>
      <c r="B96" s="377" t="s">
        <v>325</v>
      </c>
      <c r="C96" s="378"/>
      <c r="D96" s="378"/>
      <c r="E96" s="378"/>
      <c r="F96" s="411"/>
      <c r="G96" s="407">
        <f>G537-SUM(G93:G95)</f>
        <v>645.69999999999709</v>
      </c>
      <c r="H96" s="407">
        <f>H537-SUM(H93:H95)</f>
        <v>-2595.9499999999971</v>
      </c>
      <c r="I96" s="412">
        <v>0</v>
      </c>
      <c r="J96" s="412">
        <v>0</v>
      </c>
      <c r="K96" s="412">
        <v>0</v>
      </c>
      <c r="L96" s="412">
        <v>0</v>
      </c>
      <c r="M96" s="412">
        <v>0</v>
      </c>
      <c r="N96" s="412">
        <v>0</v>
      </c>
    </row>
    <row r="97" spans="1:14" ht="17.399999999999999" customHeight="1" outlineLevel="1" thickTop="1">
      <c r="A97" s="119"/>
      <c r="B97" s="377" t="s">
        <v>326</v>
      </c>
      <c r="C97" s="378"/>
      <c r="D97" s="378"/>
      <c r="E97" s="378"/>
      <c r="F97" s="413">
        <f>F537</f>
        <v>30467</v>
      </c>
      <c r="G97" s="413">
        <f t="shared" ref="G97:N97" si="26">SUM(G93:G96)</f>
        <v>33706</v>
      </c>
      <c r="H97" s="413">
        <f t="shared" si="26"/>
        <v>32549</v>
      </c>
      <c r="I97" s="413">
        <f t="shared" si="26"/>
        <v>34027.226049999997</v>
      </c>
      <c r="J97" s="413">
        <f t="shared" si="26"/>
        <v>35444.6231685475</v>
      </c>
      <c r="K97" s="413">
        <f t="shared" si="26"/>
        <v>36854.096153612474</v>
      </c>
      <c r="L97" s="413">
        <f t="shared" si="26"/>
        <v>38231.019807136974</v>
      </c>
      <c r="M97" s="413">
        <f t="shared" si="26"/>
        <v>39659.057788705199</v>
      </c>
      <c r="N97" s="413">
        <f t="shared" si="26"/>
        <v>40613.218741302662</v>
      </c>
    </row>
    <row r="98" spans="1:14" outlineLevel="1">
      <c r="A98" s="120"/>
      <c r="B98" s="414" t="s">
        <v>327</v>
      </c>
      <c r="C98" s="415"/>
      <c r="D98" s="415"/>
      <c r="E98" s="415"/>
      <c r="F98" s="415"/>
      <c r="G98" s="415"/>
      <c r="H98" s="416"/>
      <c r="I98" s="416"/>
      <c r="J98" s="416"/>
      <c r="K98" s="416"/>
      <c r="L98" s="416"/>
      <c r="M98" s="416"/>
      <c r="N98" s="416"/>
    </row>
    <row r="99" spans="1:14" outlineLevel="1">
      <c r="A99" s="119"/>
      <c r="B99" s="377" t="s">
        <v>323</v>
      </c>
      <c r="C99" s="378"/>
      <c r="D99" s="378"/>
      <c r="E99" s="378"/>
      <c r="F99" s="411"/>
      <c r="G99" s="407">
        <f t="shared" ref="G99:N99" si="27">F103</f>
        <v>18225</v>
      </c>
      <c r="H99" s="407">
        <f t="shared" si="27"/>
        <v>19245</v>
      </c>
      <c r="I99" s="407">
        <f t="shared" si="27"/>
        <v>16673</v>
      </c>
      <c r="J99" s="407">
        <f t="shared" si="27"/>
        <v>16515.918799999999</v>
      </c>
      <c r="K99" s="407">
        <f t="shared" si="27"/>
        <v>16357.943297802498</v>
      </c>
      <c r="L99" s="407">
        <f t="shared" si="27"/>
        <v>16196.528897080727</v>
      </c>
      <c r="M99" s="407">
        <f t="shared" si="27"/>
        <v>16084.470229698421</v>
      </c>
      <c r="N99" s="407">
        <f t="shared" si="27"/>
        <v>15971.49047240795</v>
      </c>
    </row>
    <row r="100" spans="1:14" outlineLevel="1">
      <c r="A100" s="119"/>
      <c r="B100" s="377" t="s">
        <v>309</v>
      </c>
      <c r="C100" s="378"/>
      <c r="D100" s="378"/>
      <c r="E100" s="378"/>
      <c r="F100" s="411"/>
      <c r="G100" s="407">
        <f t="shared" ref="G100:N100" si="28">-G78</f>
        <v>325</v>
      </c>
      <c r="H100" s="407">
        <f t="shared" si="28"/>
        <v>384</v>
      </c>
      <c r="I100" s="407">
        <f t="shared" si="28"/>
        <v>359.74979999999999</v>
      </c>
      <c r="J100" s="407">
        <f t="shared" si="28"/>
        <v>365.14604699999995</v>
      </c>
      <c r="K100" s="407">
        <f t="shared" si="28"/>
        <v>366.97177723499993</v>
      </c>
      <c r="L100" s="407">
        <f t="shared" si="28"/>
        <v>421.10011437716241</v>
      </c>
      <c r="M100" s="407">
        <f t="shared" si="28"/>
        <v>432.89091757972295</v>
      </c>
      <c r="N100" s="407">
        <f t="shared" si="28"/>
        <v>439.38428134341876</v>
      </c>
    </row>
    <row r="101" spans="1:14" outlineLevel="1">
      <c r="A101" s="119"/>
      <c r="B101" s="377" t="s">
        <v>328</v>
      </c>
      <c r="C101" s="378"/>
      <c r="D101" s="378"/>
      <c r="E101" s="378"/>
      <c r="F101" s="411"/>
      <c r="G101" s="407">
        <f t="shared" ref="G101:N101" si="29">-G88</f>
        <v>-537.29999999999973</v>
      </c>
      <c r="H101" s="407">
        <f t="shared" si="29"/>
        <v>-544.94999999999982</v>
      </c>
      <c r="I101" s="407">
        <f t="shared" si="29"/>
        <v>-516.83100000000013</v>
      </c>
      <c r="J101" s="407">
        <f t="shared" si="29"/>
        <v>-523.12154919749992</v>
      </c>
      <c r="K101" s="407">
        <f t="shared" si="29"/>
        <v>-528.3861779567701</v>
      </c>
      <c r="L101" s="407">
        <f t="shared" si="29"/>
        <v>-533.15878175946682</v>
      </c>
      <c r="M101" s="407">
        <f t="shared" si="29"/>
        <v>-545.87067487019567</v>
      </c>
      <c r="N101" s="407">
        <f t="shared" si="29"/>
        <v>-559.08701002418729</v>
      </c>
    </row>
    <row r="102" spans="1:14" ht="17.399999999999999" outlineLevel="1" thickBot="1">
      <c r="A102" s="119"/>
      <c r="B102" s="377" t="s">
        <v>329</v>
      </c>
      <c r="C102" s="378"/>
      <c r="D102" s="378"/>
      <c r="E102" s="378"/>
      <c r="F102" s="411"/>
      <c r="G102" s="407">
        <f>G539-SUM(G99:G101)</f>
        <v>1232.2999999999993</v>
      </c>
      <c r="H102" s="407">
        <f>H539-SUM(H99:H101)</f>
        <v>-2411.0499999999993</v>
      </c>
      <c r="I102" s="412">
        <v>0</v>
      </c>
      <c r="J102" s="412">
        <v>0</v>
      </c>
      <c r="K102" s="412">
        <v>0</v>
      </c>
      <c r="L102" s="412">
        <v>0</v>
      </c>
      <c r="M102" s="412">
        <v>0</v>
      </c>
      <c r="N102" s="412">
        <v>0</v>
      </c>
    </row>
    <row r="103" spans="1:14" ht="17.399999999999999" customHeight="1" outlineLevel="1" thickTop="1">
      <c r="A103" s="119"/>
      <c r="B103" s="377" t="s">
        <v>326</v>
      </c>
      <c r="C103" s="378"/>
      <c r="D103" s="378"/>
      <c r="E103" s="378"/>
      <c r="F103" s="413">
        <f>F539</f>
        <v>18225</v>
      </c>
      <c r="G103" s="413">
        <f t="shared" ref="G103:N103" si="30">SUM(G99:G102)</f>
        <v>19245</v>
      </c>
      <c r="H103" s="413">
        <f t="shared" si="30"/>
        <v>16673</v>
      </c>
      <c r="I103" s="413">
        <f t="shared" si="30"/>
        <v>16515.918799999999</v>
      </c>
      <c r="J103" s="413">
        <f t="shared" si="30"/>
        <v>16357.943297802498</v>
      </c>
      <c r="K103" s="413">
        <f t="shared" si="30"/>
        <v>16196.528897080727</v>
      </c>
      <c r="L103" s="413">
        <f t="shared" si="30"/>
        <v>16084.470229698421</v>
      </c>
      <c r="M103" s="413">
        <f t="shared" si="30"/>
        <v>15971.49047240795</v>
      </c>
      <c r="N103" s="413">
        <f t="shared" si="30"/>
        <v>15851.787743727182</v>
      </c>
    </row>
    <row r="104" spans="1:14" outlineLevel="1">
      <c r="A104" s="119"/>
      <c r="B104" s="398"/>
      <c r="C104" s="381"/>
      <c r="D104" s="381"/>
      <c r="E104" s="381"/>
      <c r="F104" s="409"/>
      <c r="G104" s="392"/>
      <c r="H104" s="392"/>
      <c r="I104" s="392"/>
      <c r="J104" s="392"/>
      <c r="K104" s="392"/>
      <c r="L104" s="392"/>
      <c r="M104" s="392"/>
      <c r="N104" s="392"/>
    </row>
    <row r="105" spans="1:14" outlineLevel="1">
      <c r="A105" s="119"/>
      <c r="B105" s="417"/>
      <c r="C105" s="373"/>
      <c r="D105" s="373"/>
      <c r="E105" s="373"/>
      <c r="F105" s="418"/>
      <c r="G105" s="418"/>
      <c r="H105" s="418"/>
      <c r="I105" s="418"/>
      <c r="J105" s="418"/>
      <c r="K105" s="418"/>
      <c r="L105" s="418"/>
      <c r="M105" s="418"/>
      <c r="N105" s="418"/>
    </row>
    <row r="106" spans="1:14" outlineLevel="1">
      <c r="A106" s="119"/>
      <c r="B106" s="373"/>
      <c r="C106" s="419" t="s">
        <v>167</v>
      </c>
      <c r="D106" s="420">
        <f>Input!M174</f>
        <v>0.15</v>
      </c>
      <c r="E106" s="421"/>
      <c r="F106" s="418"/>
      <c r="G106" s="418"/>
      <c r="H106" s="418"/>
      <c r="I106" s="418"/>
      <c r="J106" s="418"/>
      <c r="K106" s="418"/>
      <c r="L106" s="418"/>
      <c r="M106" s="418"/>
      <c r="N106" s="418"/>
    </row>
    <row r="107" spans="1:14" outlineLevel="1">
      <c r="A107" s="119"/>
      <c r="B107" s="373"/>
      <c r="C107" s="422" t="s">
        <v>169</v>
      </c>
      <c r="D107" s="423">
        <f>Input!M175</f>
        <v>0.08</v>
      </c>
      <c r="E107" s="421"/>
      <c r="F107" s="418"/>
      <c r="G107" s="418"/>
      <c r="H107" s="418"/>
      <c r="I107" s="418"/>
      <c r="J107" s="418"/>
      <c r="K107" s="418"/>
      <c r="L107" s="418"/>
      <c r="M107" s="418"/>
      <c r="N107" s="418"/>
    </row>
    <row r="108" spans="1:14" outlineLevel="1">
      <c r="A108" s="119"/>
      <c r="B108" s="417"/>
      <c r="C108" s="373"/>
      <c r="D108" s="373"/>
      <c r="E108" s="373"/>
      <c r="F108" s="418"/>
      <c r="G108" s="418"/>
      <c r="H108" s="418"/>
      <c r="I108" s="418"/>
      <c r="J108" s="418"/>
      <c r="K108" s="418"/>
      <c r="L108" s="418"/>
      <c r="M108" s="418"/>
      <c r="N108" s="418"/>
    </row>
    <row r="109" spans="1:14" outlineLevel="1">
      <c r="A109" s="119"/>
      <c r="B109" s="394" t="s">
        <v>330</v>
      </c>
      <c r="C109" s="402"/>
      <c r="D109" s="402"/>
      <c r="E109" s="402"/>
      <c r="F109" s="402"/>
      <c r="G109" s="402"/>
      <c r="H109" s="410"/>
      <c r="I109" s="410"/>
      <c r="J109" s="410"/>
      <c r="K109" s="410"/>
      <c r="L109" s="410"/>
      <c r="M109" s="410"/>
      <c r="N109" s="410"/>
    </row>
    <row r="110" spans="1:14" outlineLevel="1">
      <c r="A110" s="119"/>
      <c r="B110" s="374" t="s">
        <v>323</v>
      </c>
      <c r="C110" s="373"/>
      <c r="D110" s="373"/>
      <c r="E110" s="373"/>
      <c r="F110" s="400"/>
      <c r="G110" s="389"/>
      <c r="H110" s="389"/>
      <c r="I110" s="389">
        <f>H113</f>
        <v>49222</v>
      </c>
      <c r="J110" s="389">
        <f>I113</f>
        <v>49993.724631799996</v>
      </c>
      <c r="K110" s="389">
        <f>J113</f>
        <v>50684.16248892399</v>
      </c>
      <c r="L110" s="389">
        <f>K113</f>
        <v>51342.814996616413</v>
      </c>
      <c r="M110" s="389">
        <f>L113</f>
        <v>51996.815579051268</v>
      </c>
      <c r="N110" s="410"/>
    </row>
    <row r="111" spans="1:14" outlineLevel="1">
      <c r="A111" s="119"/>
      <c r="B111" s="374" t="s">
        <v>309</v>
      </c>
      <c r="C111" s="373"/>
      <c r="D111" s="373"/>
      <c r="E111" s="373"/>
      <c r="F111" s="400"/>
      <c r="G111" s="389"/>
      <c r="H111" s="389"/>
      <c r="I111" s="407">
        <f>I94+I100</f>
        <v>4766.6848499999996</v>
      </c>
      <c r="J111" s="407">
        <f>J94+J100</f>
        <v>4746.8986109999996</v>
      </c>
      <c r="K111" s="407">
        <f>K94+K100</f>
        <v>4770.6331040549985</v>
      </c>
      <c r="L111" s="407">
        <f>L94+L100</f>
        <v>4819.2568645386373</v>
      </c>
      <c r="M111" s="407">
        <f>M94+M100</f>
        <v>4954.1960567457181</v>
      </c>
      <c r="N111" s="416"/>
    </row>
    <row r="112" spans="1:14" outlineLevel="1">
      <c r="A112" s="119"/>
      <c r="B112" s="374" t="s">
        <v>331</v>
      </c>
      <c r="C112" s="373"/>
      <c r="D112" s="373"/>
      <c r="E112" s="373"/>
      <c r="F112" s="400"/>
      <c r="G112" s="389"/>
      <c r="H112" s="389"/>
      <c r="I112" s="389">
        <f>-(I110+I111*$D$106)*$D$107</f>
        <v>-3994.9602182000003</v>
      </c>
      <c r="J112" s="389">
        <f>-(J110+J111*$D$106)*$D$107</f>
        <v>-4056.4607538760001</v>
      </c>
      <c r="K112" s="389">
        <f>-(K110+K111*$D$106)*$D$107</f>
        <v>-4111.9805963625795</v>
      </c>
      <c r="L112" s="389">
        <f>-(L110+L111*$D$106)*$D$107</f>
        <v>-4165.2562821037764</v>
      </c>
      <c r="M112" s="389">
        <f>-(M110+M111*$D$106)*$D$107</f>
        <v>-4219.1955990050501</v>
      </c>
      <c r="N112" s="410"/>
    </row>
    <row r="113" spans="1:14" ht="17.399999999999999" customHeight="1" outlineLevel="1" thickBot="1">
      <c r="A113" s="119"/>
      <c r="B113" s="374" t="s">
        <v>326</v>
      </c>
      <c r="C113" s="373"/>
      <c r="D113" s="373"/>
      <c r="E113" s="373"/>
      <c r="F113" s="400"/>
      <c r="G113" s="389"/>
      <c r="H113" s="401">
        <f>Input!M176</f>
        <v>49222</v>
      </c>
      <c r="I113" s="401">
        <f>I110+I111+I112</f>
        <v>49993.724631799996</v>
      </c>
      <c r="J113" s="401">
        <f>J110+J111+J112</f>
        <v>50684.16248892399</v>
      </c>
      <c r="K113" s="401">
        <f>K110+K111+K112</f>
        <v>51342.814996616413</v>
      </c>
      <c r="L113" s="401">
        <f>L110+L111+L112</f>
        <v>51996.815579051268</v>
      </c>
      <c r="M113" s="401">
        <f>M110+M111+M112</f>
        <v>52731.816036791941</v>
      </c>
      <c r="N113" s="410"/>
    </row>
    <row r="114" spans="1:14" ht="17.399999999999999" customHeight="1" outlineLevel="1" thickTop="1">
      <c r="A114" s="119"/>
      <c r="B114" s="417"/>
      <c r="C114" s="373"/>
      <c r="D114" s="373"/>
      <c r="E114" s="373"/>
      <c r="F114" s="400"/>
      <c r="G114" s="389"/>
      <c r="H114" s="418"/>
      <c r="I114" s="418"/>
      <c r="J114" s="418"/>
      <c r="K114" s="418"/>
      <c r="L114" s="418"/>
      <c r="M114" s="418"/>
      <c r="N114" s="410"/>
    </row>
    <row r="115" spans="1:14" outlineLevel="1">
      <c r="A115" s="119"/>
      <c r="B115" s="417" t="s">
        <v>332</v>
      </c>
      <c r="C115" s="417"/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7"/>
    </row>
    <row r="116" spans="1:14" outlineLevel="1">
      <c r="A116" s="119"/>
      <c r="B116" s="424" t="s">
        <v>333</v>
      </c>
      <c r="C116" s="381"/>
      <c r="D116" s="381"/>
      <c r="E116" s="381"/>
      <c r="F116" s="399"/>
      <c r="G116" s="399"/>
      <c r="H116" s="399"/>
      <c r="I116" s="392"/>
      <c r="J116" s="392"/>
      <c r="K116" s="392"/>
      <c r="L116" s="392"/>
      <c r="M116" s="392"/>
      <c r="N116" s="392"/>
    </row>
    <row r="117" spans="1:14">
      <c r="A117" s="119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</row>
    <row r="118" spans="1:14">
      <c r="A118" s="119" t="s">
        <v>26</v>
      </c>
      <c r="B118" s="364" t="s">
        <v>334</v>
      </c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</row>
    <row r="119" spans="1:14" outlineLevel="1">
      <c r="A119" s="119"/>
      <c r="B119" s="374"/>
      <c r="C119" s="373"/>
      <c r="D119" s="373"/>
      <c r="E119" s="373"/>
      <c r="F119" s="373"/>
      <c r="G119" s="373"/>
      <c r="H119" s="389"/>
      <c r="I119" s="389"/>
      <c r="J119" s="389"/>
      <c r="K119" s="389"/>
      <c r="L119" s="389"/>
      <c r="M119" s="389"/>
    </row>
    <row r="120" spans="1:14" ht="17.399999999999999" customHeight="1" outlineLevel="1" thickBot="1">
      <c r="A120" s="118"/>
      <c r="B120" s="369" t="str">
        <f>Input!$B$8</f>
        <v>All figures in CHF millions unless stated</v>
      </c>
      <c r="C120" s="368"/>
      <c r="D120" s="368"/>
      <c r="E120" s="368"/>
      <c r="F120" s="370">
        <f t="shared" ref="F120:M120" si="31">F$2</f>
        <v>2023</v>
      </c>
      <c r="G120" s="370">
        <f t="shared" si="31"/>
        <v>2024</v>
      </c>
      <c r="H120" s="370">
        <f t="shared" si="31"/>
        <v>2025</v>
      </c>
      <c r="I120" s="371">
        <f t="shared" si="31"/>
        <v>2026</v>
      </c>
      <c r="J120" s="371">
        <f t="shared" si="31"/>
        <v>2027</v>
      </c>
      <c r="K120" s="371">
        <f t="shared" si="31"/>
        <v>2028</v>
      </c>
      <c r="L120" s="371">
        <f t="shared" si="31"/>
        <v>2029</v>
      </c>
      <c r="M120" s="371">
        <f t="shared" si="31"/>
        <v>2030</v>
      </c>
    </row>
    <row r="121" spans="1:14" ht="17.399999999999999" customHeight="1" outlineLevel="1" thickTop="1">
      <c r="A121" s="118"/>
      <c r="B121" s="369" t="str">
        <f>CONCATENATE("Model Running: ",INDEX(Input!$B$12:$B$14,Input!$D$6)," Drivers")</f>
        <v>Model Running: Base Case Drivers</v>
      </c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</row>
    <row r="122" spans="1:14" outlineLevel="1">
      <c r="A122" s="118"/>
      <c r="B122" s="369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</row>
    <row r="123" spans="1:14" outlineLevel="1">
      <c r="A123" s="119"/>
      <c r="B123" s="373"/>
      <c r="C123" s="374" t="s">
        <v>335</v>
      </c>
      <c r="D123" s="373"/>
      <c r="E123" s="373"/>
      <c r="F123" s="373"/>
      <c r="G123" s="373"/>
      <c r="H123" s="389"/>
      <c r="I123" s="425">
        <f>I456</f>
        <v>10861.493199999999</v>
      </c>
      <c r="J123" s="426">
        <f>J456</f>
        <v>11336.569526900024</v>
      </c>
      <c r="K123" s="426">
        <f>K456</f>
        <v>11218.997505665038</v>
      </c>
      <c r="L123" s="426">
        <f>L456</f>
        <v>11908.66389119519</v>
      </c>
      <c r="M123" s="427">
        <f>M456</f>
        <v>12610.504130850366</v>
      </c>
    </row>
    <row r="124" spans="1:14" outlineLevel="1">
      <c r="A124" s="119"/>
      <c r="B124" s="373"/>
      <c r="C124" s="374" t="s">
        <v>336</v>
      </c>
      <c r="D124" s="373"/>
      <c r="E124" s="373"/>
      <c r="F124" s="373"/>
      <c r="G124" s="373"/>
      <c r="H124" s="389"/>
      <c r="I124" s="428">
        <f>IF(I133&gt;0,1,0)</f>
        <v>1</v>
      </c>
      <c r="J124" s="429">
        <f>IF(J133&gt;0,1,0)</f>
        <v>1</v>
      </c>
      <c r="K124" s="429">
        <f>IF(K133&gt;0,1,0)</f>
        <v>1</v>
      </c>
      <c r="L124" s="429">
        <f>IF(L133&gt;0,1,0)</f>
        <v>1</v>
      </c>
      <c r="M124" s="430">
        <f>IF(M133&gt;0,1,0)</f>
        <v>1</v>
      </c>
    </row>
    <row r="125" spans="1:14" outlineLevel="1">
      <c r="A125" s="119"/>
      <c r="B125" s="373"/>
      <c r="C125" s="374"/>
      <c r="D125" s="373"/>
      <c r="E125" s="373"/>
      <c r="F125" s="373"/>
      <c r="G125" s="373"/>
      <c r="H125" s="389"/>
      <c r="I125" s="389"/>
      <c r="J125" s="389"/>
      <c r="K125" s="389"/>
      <c r="L125" s="389"/>
      <c r="M125" s="389"/>
    </row>
    <row r="126" spans="1:14" outlineLevel="1">
      <c r="A126" s="119"/>
      <c r="B126" s="373"/>
      <c r="C126" s="419" t="s">
        <v>164</v>
      </c>
      <c r="D126" s="420">
        <f>Input!$M$173</f>
        <v>0.23499999999999999</v>
      </c>
      <c r="E126" s="421"/>
      <c r="F126" s="373"/>
      <c r="G126" s="373"/>
      <c r="H126" s="389"/>
      <c r="I126" s="389"/>
      <c r="J126" s="389"/>
      <c r="K126" s="389"/>
      <c r="L126" s="389"/>
      <c r="M126" s="389"/>
    </row>
    <row r="127" spans="1:14" outlineLevel="1">
      <c r="A127" s="119"/>
      <c r="B127" s="373"/>
      <c r="C127" s="422" t="s">
        <v>337</v>
      </c>
      <c r="D127" s="431">
        <f>IF(M144=0,0,1)</f>
        <v>0</v>
      </c>
      <c r="E127" s="432"/>
      <c r="F127" s="373"/>
      <c r="G127" s="373"/>
      <c r="H127" s="389"/>
      <c r="I127" s="389"/>
      <c r="J127" s="389"/>
      <c r="K127" s="389"/>
      <c r="L127" s="389"/>
      <c r="M127" s="389"/>
    </row>
    <row r="128" spans="1:14" outlineLevel="1">
      <c r="A128" s="119"/>
      <c r="B128" s="374"/>
      <c r="C128" s="373"/>
      <c r="D128" s="373"/>
      <c r="E128" s="373"/>
      <c r="F128" s="373"/>
      <c r="G128" s="373"/>
      <c r="H128" s="389"/>
      <c r="I128" s="389"/>
      <c r="J128" s="389"/>
      <c r="K128" s="389"/>
      <c r="L128" s="389"/>
      <c r="M128" s="389"/>
    </row>
    <row r="129" spans="1:13" outlineLevel="1">
      <c r="A129" s="119"/>
      <c r="B129" s="433" t="s">
        <v>338</v>
      </c>
      <c r="C129" s="373"/>
      <c r="D129" s="373"/>
      <c r="E129" s="373"/>
      <c r="F129" s="373"/>
      <c r="G129" s="373"/>
      <c r="H129" s="389"/>
      <c r="I129" s="389"/>
      <c r="J129" s="389"/>
      <c r="K129" s="389"/>
      <c r="L129" s="389"/>
      <c r="M129" s="389"/>
    </row>
    <row r="130" spans="1:13" outlineLevel="1">
      <c r="A130" s="119"/>
      <c r="B130" s="374" t="s">
        <v>335</v>
      </c>
      <c r="C130" s="373"/>
      <c r="D130" s="373"/>
      <c r="E130" s="373"/>
      <c r="F130" s="373"/>
      <c r="G130" s="373"/>
      <c r="H130" s="389"/>
      <c r="I130" s="389">
        <f>I123</f>
        <v>10861.493199999999</v>
      </c>
      <c r="J130" s="389">
        <f>J123</f>
        <v>11336.569526900024</v>
      </c>
      <c r="K130" s="389">
        <f>K123</f>
        <v>11218.997505665038</v>
      </c>
      <c r="L130" s="389">
        <f>L123</f>
        <v>11908.66389119519</v>
      </c>
      <c r="M130" s="389">
        <f>M123</f>
        <v>12610.504130850366</v>
      </c>
    </row>
    <row r="131" spans="1:13" outlineLevel="1">
      <c r="A131" s="119"/>
      <c r="B131" s="374" t="s">
        <v>339</v>
      </c>
      <c r="C131" s="373"/>
      <c r="D131" s="373"/>
      <c r="E131" s="373"/>
      <c r="F131" s="373"/>
      <c r="G131" s="373"/>
      <c r="H131" s="389"/>
      <c r="I131" s="407">
        <f>I86</f>
        <v>3445.5400000000004</v>
      </c>
      <c r="J131" s="407">
        <f>J86</f>
        <v>3487.4769946500001</v>
      </c>
      <c r="K131" s="407">
        <f>K86</f>
        <v>3522.5745197118003</v>
      </c>
      <c r="L131" s="407">
        <f>L86</f>
        <v>3554.3918783964446</v>
      </c>
      <c r="M131" s="407">
        <f>M86</f>
        <v>3639.1378324679717</v>
      </c>
    </row>
    <row r="132" spans="1:13" outlineLevel="1">
      <c r="A132" s="119"/>
      <c r="B132" s="374" t="s">
        <v>340</v>
      </c>
      <c r="C132" s="373"/>
      <c r="D132" s="373"/>
      <c r="E132" s="373"/>
      <c r="F132" s="373"/>
      <c r="G132" s="373"/>
      <c r="H132" s="389"/>
      <c r="I132" s="434">
        <f>I112</f>
        <v>-3994.9602182000003</v>
      </c>
      <c r="J132" s="434">
        <f>J112</f>
        <v>-4056.4607538760001</v>
      </c>
      <c r="K132" s="434">
        <f>K112</f>
        <v>-4111.9805963625795</v>
      </c>
      <c r="L132" s="434">
        <f>L112</f>
        <v>-4165.2562821037764</v>
      </c>
      <c r="M132" s="434">
        <f>M112</f>
        <v>-4219.1955990050501</v>
      </c>
    </row>
    <row r="133" spans="1:13" outlineLevel="1">
      <c r="A133" s="119"/>
      <c r="B133" s="374" t="s">
        <v>341</v>
      </c>
      <c r="C133" s="373"/>
      <c r="D133" s="373"/>
      <c r="E133" s="373"/>
      <c r="F133" s="373"/>
      <c r="G133" s="373"/>
      <c r="H133" s="389"/>
      <c r="I133" s="407">
        <f>SUM(I130:I132)</f>
        <v>10312.0729818</v>
      </c>
      <c r="J133" s="407">
        <f>SUM(J130:J132)</f>
        <v>10767.585767674023</v>
      </c>
      <c r="K133" s="407">
        <f>SUM(K130:K132)</f>
        <v>10629.591429014257</v>
      </c>
      <c r="L133" s="407">
        <f>SUM(L130:L132)</f>
        <v>11297.79948748786</v>
      </c>
      <c r="M133" s="407">
        <f>SUM(M130:M132)</f>
        <v>12030.446364313288</v>
      </c>
    </row>
    <row r="134" spans="1:13" outlineLevel="1">
      <c r="A134" s="119"/>
      <c r="B134" s="374"/>
      <c r="C134" s="373"/>
      <c r="D134" s="373"/>
      <c r="E134" s="373"/>
      <c r="F134" s="373"/>
      <c r="G134" s="373"/>
      <c r="H134" s="389"/>
      <c r="I134" s="407"/>
      <c r="J134" s="407"/>
      <c r="K134" s="407"/>
      <c r="L134" s="407"/>
      <c r="M134" s="407"/>
    </row>
    <row r="135" spans="1:13" outlineLevel="1">
      <c r="A135" s="119"/>
      <c r="B135" s="435" t="s">
        <v>342</v>
      </c>
      <c r="C135" s="373"/>
      <c r="D135" s="373"/>
      <c r="E135" s="373"/>
      <c r="F135" s="373"/>
      <c r="G135" s="373"/>
      <c r="H135" s="389"/>
      <c r="I135" s="407"/>
      <c r="J135" s="407"/>
      <c r="K135" s="407"/>
      <c r="L135" s="407"/>
      <c r="M135" s="407"/>
    </row>
    <row r="136" spans="1:13" outlineLevel="1">
      <c r="A136" s="119"/>
      <c r="B136" s="374" t="s">
        <v>341</v>
      </c>
      <c r="C136" s="373"/>
      <c r="D136" s="373"/>
      <c r="E136" s="373"/>
      <c r="F136" s="373"/>
      <c r="G136" s="373"/>
      <c r="H136" s="389"/>
      <c r="I136" s="407">
        <f>I133</f>
        <v>10312.0729818</v>
      </c>
      <c r="J136" s="407">
        <f>J133</f>
        <v>10767.585767674023</v>
      </c>
      <c r="K136" s="407">
        <f>K133</f>
        <v>10629.591429014257</v>
      </c>
      <c r="L136" s="407">
        <f>L133</f>
        <v>11297.79948748786</v>
      </c>
      <c r="M136" s="407">
        <f>M133</f>
        <v>12030.446364313288</v>
      </c>
    </row>
    <row r="137" spans="1:13" outlineLevel="1">
      <c r="A137" s="119"/>
      <c r="B137" s="436" t="s">
        <v>343</v>
      </c>
      <c r="C137" s="373"/>
      <c r="D137" s="373"/>
      <c r="E137" s="373"/>
      <c r="F137" s="373"/>
      <c r="G137" s="373"/>
      <c r="H137" s="389"/>
      <c r="I137" s="434">
        <f>I143</f>
        <v>0</v>
      </c>
      <c r="J137" s="434">
        <f>J143</f>
        <v>0</v>
      </c>
      <c r="K137" s="434">
        <f>K143</f>
        <v>0</v>
      </c>
      <c r="L137" s="434">
        <f>L143</f>
        <v>0</v>
      </c>
      <c r="M137" s="434">
        <f>M143</f>
        <v>0</v>
      </c>
    </row>
    <row r="138" spans="1:13" outlineLevel="1">
      <c r="A138" s="119"/>
      <c r="B138" s="374" t="s">
        <v>344</v>
      </c>
      <c r="C138" s="373"/>
      <c r="D138" s="373"/>
      <c r="E138" s="373"/>
      <c r="F138" s="373"/>
      <c r="G138" s="373"/>
      <c r="H138" s="389"/>
      <c r="I138" s="407">
        <f>MAX(SUM(I136:I137),0)</f>
        <v>10312.0729818</v>
      </c>
      <c r="J138" s="407">
        <f>MAX(SUM(J136:J137),0)</f>
        <v>10767.585767674023</v>
      </c>
      <c r="K138" s="407">
        <f>MAX(SUM(K136:K137),0)</f>
        <v>10629.591429014257</v>
      </c>
      <c r="L138" s="407">
        <f>MAX(SUM(L136:L137),0)</f>
        <v>11297.79948748786</v>
      </c>
      <c r="M138" s="407">
        <f>MAX(SUM(M136:M137),0)</f>
        <v>12030.446364313288</v>
      </c>
    </row>
    <row r="139" spans="1:13" outlineLevel="1">
      <c r="A139" s="119"/>
      <c r="B139" s="374"/>
      <c r="C139" s="373"/>
      <c r="D139" s="373"/>
      <c r="E139" s="373"/>
      <c r="F139" s="373"/>
      <c r="G139" s="373"/>
      <c r="H139" s="389"/>
      <c r="I139" s="407"/>
      <c r="J139" s="407"/>
      <c r="K139" s="407"/>
      <c r="L139" s="407"/>
      <c r="M139" s="407"/>
    </row>
    <row r="140" spans="1:13" outlineLevel="1">
      <c r="A140" s="119"/>
      <c r="B140" s="433" t="s">
        <v>345</v>
      </c>
      <c r="C140" s="373"/>
      <c r="D140" s="373"/>
      <c r="E140" s="373"/>
      <c r="F140" s="373"/>
      <c r="G140" s="373"/>
      <c r="H140" s="389"/>
      <c r="I140" s="407"/>
      <c r="J140" s="407"/>
      <c r="K140" s="407"/>
      <c r="L140" s="407"/>
      <c r="M140" s="407"/>
    </row>
    <row r="141" spans="1:13" outlineLevel="1">
      <c r="A141" s="119"/>
      <c r="B141" s="374" t="s">
        <v>323</v>
      </c>
      <c r="C141" s="373"/>
      <c r="D141" s="373"/>
      <c r="E141" s="373"/>
      <c r="F141" s="373"/>
      <c r="G141" s="373"/>
      <c r="H141" s="389"/>
      <c r="I141" s="407">
        <f>H144</f>
        <v>0</v>
      </c>
      <c r="J141" s="407">
        <f>I144</f>
        <v>0</v>
      </c>
      <c r="K141" s="407">
        <f>J144</f>
        <v>0</v>
      </c>
      <c r="L141" s="407">
        <f>K144</f>
        <v>0</v>
      </c>
      <c r="M141" s="407">
        <f>L144</f>
        <v>0</v>
      </c>
    </row>
    <row r="142" spans="1:13" outlineLevel="1">
      <c r="A142" s="119"/>
      <c r="B142" s="374" t="s">
        <v>346</v>
      </c>
      <c r="C142" s="373"/>
      <c r="D142" s="373"/>
      <c r="E142" s="373"/>
      <c r="F142" s="373"/>
      <c r="G142" s="373"/>
      <c r="H142" s="389"/>
      <c r="I142" s="407">
        <f>-MIN(I133,0)</f>
        <v>0</v>
      </c>
      <c r="J142" s="407">
        <f>-MIN(J133,0)</f>
        <v>0</v>
      </c>
      <c r="K142" s="407">
        <f>-MIN(K133,0)</f>
        <v>0</v>
      </c>
      <c r="L142" s="407">
        <f>-MIN(L133,0)</f>
        <v>0</v>
      </c>
      <c r="M142" s="407">
        <f>-MIN(M133,0)</f>
        <v>0</v>
      </c>
    </row>
    <row r="143" spans="1:13" outlineLevel="1">
      <c r="A143" s="119"/>
      <c r="B143" s="374" t="s">
        <v>347</v>
      </c>
      <c r="C143" s="373"/>
      <c r="D143" s="373"/>
      <c r="E143" s="373"/>
      <c r="F143" s="373"/>
      <c r="G143" s="373"/>
      <c r="H143" s="392"/>
      <c r="I143" s="434">
        <f>-MIN(I141,I136)*I124</f>
        <v>0</v>
      </c>
      <c r="J143" s="434">
        <f>-MIN(J141,J136)*J124</f>
        <v>0</v>
      </c>
      <c r="K143" s="434">
        <f>-MIN(K141,K136)*K124</f>
        <v>0</v>
      </c>
      <c r="L143" s="434">
        <f>-MIN(L141,L136)*L124</f>
        <v>0</v>
      </c>
      <c r="M143" s="434">
        <f>-MIN(M141,M136)*M124</f>
        <v>0</v>
      </c>
    </row>
    <row r="144" spans="1:13" outlineLevel="1">
      <c r="A144" s="119"/>
      <c r="B144" s="374" t="s">
        <v>326</v>
      </c>
      <c r="C144" s="373"/>
      <c r="D144" s="373"/>
      <c r="E144" s="373"/>
      <c r="F144" s="373"/>
      <c r="G144" s="373"/>
      <c r="H144" s="389">
        <f>Input!M177</f>
        <v>0</v>
      </c>
      <c r="I144" s="407">
        <f>SUM(I141:I143)</f>
        <v>0</v>
      </c>
      <c r="J144" s="407">
        <f>SUM(J141:J143)</f>
        <v>0</v>
      </c>
      <c r="K144" s="407">
        <f>SUM(K141:K143)</f>
        <v>0</v>
      </c>
      <c r="L144" s="407">
        <f>SUM(L141:L143)</f>
        <v>0</v>
      </c>
      <c r="M144" s="407">
        <f>SUM(M141:M143)</f>
        <v>0</v>
      </c>
    </row>
    <row r="145" spans="1:14" outlineLevel="1">
      <c r="A145" s="119"/>
      <c r="B145" s="398"/>
      <c r="C145" s="381"/>
      <c r="D145" s="381"/>
      <c r="E145" s="381"/>
      <c r="F145" s="381"/>
      <c r="G145" s="381"/>
      <c r="H145" s="392"/>
      <c r="I145" s="392"/>
      <c r="J145" s="392"/>
      <c r="K145" s="392"/>
      <c r="L145" s="392"/>
      <c r="M145" s="392"/>
    </row>
    <row r="146" spans="1:14" outlineLevel="1">
      <c r="A146" s="119"/>
      <c r="B146" s="374"/>
      <c r="C146" s="373"/>
      <c r="D146" s="373"/>
      <c r="E146" s="373"/>
      <c r="F146" s="373"/>
      <c r="G146" s="373"/>
      <c r="H146" s="389"/>
      <c r="I146" s="389"/>
      <c r="J146" s="389"/>
      <c r="K146" s="389"/>
      <c r="L146" s="389"/>
      <c r="M146" s="437"/>
    </row>
    <row r="147" spans="1:14" outlineLevel="1">
      <c r="A147" s="119"/>
      <c r="B147" s="433" t="s">
        <v>348</v>
      </c>
      <c r="C147" s="373"/>
      <c r="D147" s="373"/>
      <c r="E147" s="373"/>
      <c r="F147" s="373"/>
      <c r="G147" s="373"/>
      <c r="H147" s="389"/>
      <c r="I147" s="389"/>
      <c r="J147" s="389"/>
      <c r="K147" s="389"/>
      <c r="L147" s="389"/>
      <c r="M147" s="437"/>
    </row>
    <row r="148" spans="1:14" outlineLevel="1">
      <c r="A148" s="119"/>
      <c r="B148" s="374" t="s">
        <v>349</v>
      </c>
      <c r="C148" s="373"/>
      <c r="D148" s="373"/>
      <c r="E148" s="373"/>
      <c r="F148" s="373"/>
      <c r="G148" s="373"/>
      <c r="H148" s="389"/>
      <c r="I148" s="389">
        <f>$D$126*I138</f>
        <v>2423.3371507229999</v>
      </c>
      <c r="J148" s="389">
        <f>$D$126*J138</f>
        <v>2530.3826554033953</v>
      </c>
      <c r="K148" s="389">
        <f>$D$126*K138</f>
        <v>2497.9539858183502</v>
      </c>
      <c r="L148" s="389">
        <f>$D$126*L138</f>
        <v>2654.9828795596472</v>
      </c>
      <c r="M148" s="389">
        <f>$D$126*M138</f>
        <v>2827.1548956136226</v>
      </c>
    </row>
    <row r="149" spans="1:14" outlineLevel="1">
      <c r="A149" s="119"/>
      <c r="B149" s="374" t="s">
        <v>350</v>
      </c>
      <c r="C149" s="373"/>
      <c r="D149" s="373"/>
      <c r="E149" s="373"/>
      <c r="F149" s="373"/>
      <c r="G149" s="373"/>
      <c r="H149" s="389"/>
      <c r="I149" s="392">
        <f>I150-I148</f>
        <v>129.11375127699966</v>
      </c>
      <c r="J149" s="392">
        <f>J150-J148</f>
        <v>133.71118341811007</v>
      </c>
      <c r="K149" s="392">
        <f>K150-K148</f>
        <v>138.51042801293352</v>
      </c>
      <c r="L149" s="392">
        <f>L150-L148</f>
        <v>143.55313487122248</v>
      </c>
      <c r="M149" s="392">
        <f>M150-M148</f>
        <v>136.31357513621333</v>
      </c>
    </row>
    <row r="150" spans="1:14" outlineLevel="1">
      <c r="A150" s="119"/>
      <c r="B150" s="374" t="s">
        <v>351</v>
      </c>
      <c r="C150" s="373"/>
      <c r="D150" s="373"/>
      <c r="E150" s="373"/>
      <c r="F150" s="373"/>
      <c r="G150" s="373"/>
      <c r="H150" s="389"/>
      <c r="I150" s="389">
        <f>MAX(I130*$D$126,0)</f>
        <v>2552.4509019999996</v>
      </c>
      <c r="J150" s="389">
        <f>MAX(J130*$D$126,0)</f>
        <v>2664.0938388215054</v>
      </c>
      <c r="K150" s="389">
        <f>MAX(K130*$D$126,0)</f>
        <v>2636.4644138312838</v>
      </c>
      <c r="L150" s="389">
        <f>MAX(L130*$D$126,0)</f>
        <v>2798.5360144308697</v>
      </c>
      <c r="M150" s="389">
        <f>MAX(M130*$D$126,0)</f>
        <v>2963.4684707498359</v>
      </c>
    </row>
    <row r="151" spans="1:14" outlineLevel="1">
      <c r="A151" s="119"/>
      <c r="B151" s="374"/>
      <c r="C151" s="373"/>
      <c r="D151" s="373"/>
      <c r="E151" s="373"/>
      <c r="F151" s="373"/>
      <c r="G151" s="373"/>
      <c r="H151" s="389"/>
      <c r="I151" s="389"/>
      <c r="J151" s="389"/>
      <c r="K151" s="389"/>
      <c r="L151" s="389"/>
      <c r="M151" s="437"/>
    </row>
    <row r="152" spans="1:14" outlineLevel="1">
      <c r="A152" s="119"/>
      <c r="B152" s="374"/>
      <c r="C152" s="373"/>
      <c r="D152" s="373"/>
      <c r="E152" s="373"/>
      <c r="F152" s="373"/>
      <c r="G152" s="373"/>
      <c r="H152" s="389"/>
      <c r="I152" s="389"/>
      <c r="J152" s="389"/>
      <c r="K152" s="389"/>
      <c r="L152" s="389"/>
      <c r="M152" s="438" t="s">
        <v>352</v>
      </c>
    </row>
    <row r="153" spans="1:14" outlineLevel="1">
      <c r="A153" s="119"/>
      <c r="B153" s="374"/>
      <c r="C153" s="373"/>
      <c r="D153" s="373"/>
      <c r="E153" s="373"/>
      <c r="F153" s="373"/>
      <c r="G153" s="373"/>
      <c r="H153" s="389"/>
      <c r="I153" s="389"/>
      <c r="J153" s="389"/>
      <c r="K153" s="389"/>
      <c r="L153" s="389"/>
      <c r="M153" s="437" t="s">
        <v>353</v>
      </c>
    </row>
    <row r="154" spans="1:14" outlineLevel="1">
      <c r="A154" s="119"/>
      <c r="B154" s="398"/>
      <c r="C154" s="381"/>
      <c r="D154" s="381"/>
      <c r="E154" s="381"/>
      <c r="F154" s="381"/>
      <c r="G154" s="381"/>
      <c r="H154" s="392"/>
      <c r="I154" s="392"/>
      <c r="J154" s="392"/>
      <c r="K154" s="392"/>
      <c r="L154" s="392"/>
      <c r="M154" s="392"/>
    </row>
    <row r="155" spans="1:14">
      <c r="A155" s="119"/>
      <c r="B155" s="374"/>
      <c r="C155" s="373"/>
      <c r="D155" s="373"/>
      <c r="E155" s="373"/>
      <c r="F155" s="373"/>
      <c r="G155" s="373"/>
      <c r="H155" s="389"/>
      <c r="I155" s="389"/>
      <c r="J155" s="389"/>
      <c r="K155" s="389"/>
      <c r="L155" s="389"/>
      <c r="M155" s="389"/>
    </row>
    <row r="156" spans="1:14">
      <c r="A156" s="119" t="s">
        <v>26</v>
      </c>
      <c r="B156" s="364" t="s">
        <v>354</v>
      </c>
      <c r="C156" s="364"/>
      <c r="D156" s="364"/>
      <c r="E156" s="364"/>
      <c r="F156" s="364"/>
      <c r="G156" s="364"/>
      <c r="H156" s="364"/>
      <c r="I156" s="364"/>
      <c r="J156" s="364"/>
      <c r="K156" s="364"/>
      <c r="L156" s="364"/>
      <c r="M156" s="364"/>
      <c r="N156" s="364"/>
    </row>
    <row r="157" spans="1:14" outlineLevel="1">
      <c r="A157" s="119"/>
      <c r="B157" s="374"/>
      <c r="C157" s="373"/>
      <c r="D157" s="373"/>
      <c r="E157" s="373"/>
      <c r="F157" s="373"/>
      <c r="G157" s="373"/>
      <c r="H157" s="389"/>
      <c r="I157" s="389"/>
      <c r="J157" s="389"/>
      <c r="K157" s="389"/>
      <c r="L157" s="389"/>
      <c r="M157" s="389"/>
    </row>
    <row r="158" spans="1:14" ht="17.399999999999999" customHeight="1" outlineLevel="1" thickBot="1">
      <c r="A158" s="118"/>
      <c r="B158" s="369" t="str">
        <f>Input!$B$8</f>
        <v>All figures in CHF millions unless stated</v>
      </c>
      <c r="C158" s="368"/>
      <c r="D158" s="368"/>
      <c r="E158" s="368"/>
      <c r="F158" s="370">
        <f t="shared" ref="F158:M158" si="32">F$2</f>
        <v>2023</v>
      </c>
      <c r="G158" s="370">
        <f t="shared" si="32"/>
        <v>2024</v>
      </c>
      <c r="H158" s="370">
        <f t="shared" si="32"/>
        <v>2025</v>
      </c>
      <c r="I158" s="371">
        <f t="shared" si="32"/>
        <v>2026</v>
      </c>
      <c r="J158" s="371">
        <f t="shared" si="32"/>
        <v>2027</v>
      </c>
      <c r="K158" s="371">
        <f t="shared" si="32"/>
        <v>2028</v>
      </c>
      <c r="L158" s="371">
        <f t="shared" si="32"/>
        <v>2029</v>
      </c>
      <c r="M158" s="371">
        <f t="shared" si="32"/>
        <v>2030</v>
      </c>
    </row>
    <row r="159" spans="1:14" ht="17.399999999999999" customHeight="1" outlineLevel="1" thickTop="1">
      <c r="A159" s="118"/>
      <c r="B159" s="369" t="str">
        <f>CONCATENATE("Model Running: ",INDEX(Input!$B$12:$B$14,Input!$D$6)," Drivers")</f>
        <v>Model Running: Base Case Drivers</v>
      </c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</row>
    <row r="160" spans="1:14" outlineLevel="1">
      <c r="A160" s="118"/>
      <c r="B160" s="369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</row>
    <row r="161" spans="1:13" outlineLevel="1">
      <c r="A161" s="119"/>
      <c r="B161" s="373"/>
      <c r="C161" s="374" t="s">
        <v>355</v>
      </c>
      <c r="D161" s="373"/>
      <c r="E161" s="373"/>
      <c r="F161" s="373"/>
      <c r="G161" s="373"/>
      <c r="H161" s="389"/>
      <c r="I161" s="425">
        <f>I452</f>
        <v>12383.4512</v>
      </c>
      <c r="J161" s="426">
        <f>J452</f>
        <v>12834.191556450005</v>
      </c>
      <c r="K161" s="426">
        <f>K452</f>
        <v>12686.430377085137</v>
      </c>
      <c r="L161" s="426">
        <f>L452</f>
        <v>13349.957493557908</v>
      </c>
      <c r="M161" s="427">
        <f>M452</f>
        <v>14024.014689741245</v>
      </c>
    </row>
    <row r="162" spans="1:13" outlineLevel="1">
      <c r="A162" s="119"/>
      <c r="B162" s="373"/>
      <c r="C162" s="374" t="s">
        <v>336</v>
      </c>
      <c r="D162" s="373"/>
      <c r="E162" s="373"/>
      <c r="F162" s="373"/>
      <c r="G162" s="373"/>
      <c r="H162" s="389"/>
      <c r="I162" s="428">
        <f>IF(I171&gt;0,1,0)</f>
        <v>1</v>
      </c>
      <c r="J162" s="429">
        <f>IF(J171&gt;0,1,0)</f>
        <v>1</v>
      </c>
      <c r="K162" s="429">
        <f>IF(K171&gt;0,1,0)</f>
        <v>1</v>
      </c>
      <c r="L162" s="429">
        <f>IF(L171&gt;0,1,0)</f>
        <v>1</v>
      </c>
      <c r="M162" s="430">
        <f>IF(M171&gt;0,1,0)</f>
        <v>1</v>
      </c>
    </row>
    <row r="163" spans="1:13" outlineLevel="1">
      <c r="A163" s="119"/>
      <c r="B163" s="373"/>
      <c r="C163" s="374"/>
      <c r="D163" s="373"/>
      <c r="E163" s="373"/>
      <c r="F163" s="373"/>
      <c r="G163" s="373"/>
      <c r="H163" s="389"/>
      <c r="I163" s="389"/>
      <c r="J163" s="389"/>
      <c r="K163" s="389"/>
      <c r="L163" s="389"/>
      <c r="M163" s="389"/>
    </row>
    <row r="164" spans="1:13" outlineLevel="1">
      <c r="A164" s="119"/>
      <c r="B164" s="373"/>
      <c r="C164" s="419" t="s">
        <v>164</v>
      </c>
      <c r="D164" s="420">
        <f>Input!$M$173</f>
        <v>0.23499999999999999</v>
      </c>
      <c r="E164" s="421"/>
      <c r="F164" s="373"/>
      <c r="G164" s="373"/>
      <c r="H164" s="389"/>
      <c r="I164" s="389"/>
      <c r="J164" s="389"/>
      <c r="K164" s="389"/>
      <c r="L164" s="389"/>
      <c r="M164" s="389"/>
    </row>
    <row r="165" spans="1:13" outlineLevel="1">
      <c r="A165" s="119"/>
      <c r="B165" s="373"/>
      <c r="C165" s="422" t="s">
        <v>337</v>
      </c>
      <c r="D165" s="431">
        <f>IF(M182=0,0,1)</f>
        <v>0</v>
      </c>
      <c r="E165" s="432"/>
      <c r="F165" s="373"/>
      <c r="G165" s="373"/>
      <c r="H165" s="389"/>
      <c r="I165" s="389"/>
      <c r="J165" s="389"/>
      <c r="K165" s="389"/>
      <c r="L165" s="389"/>
      <c r="M165" s="389"/>
    </row>
    <row r="166" spans="1:13" outlineLevel="1">
      <c r="A166" s="119"/>
      <c r="B166" s="374"/>
      <c r="C166" s="373"/>
      <c r="D166" s="373"/>
      <c r="E166" s="373"/>
      <c r="F166" s="373"/>
      <c r="G166" s="373"/>
      <c r="H166" s="389"/>
      <c r="I166" s="389"/>
      <c r="J166" s="389"/>
      <c r="K166" s="389"/>
      <c r="L166" s="389"/>
      <c r="M166" s="389"/>
    </row>
    <row r="167" spans="1:13" outlineLevel="1">
      <c r="A167" s="119"/>
      <c r="B167" s="433" t="s">
        <v>338</v>
      </c>
      <c r="C167" s="373"/>
      <c r="D167" s="373"/>
      <c r="E167" s="373"/>
      <c r="F167" s="373"/>
      <c r="G167" s="373"/>
      <c r="H167" s="389"/>
      <c r="I167" s="389"/>
      <c r="J167" s="389"/>
      <c r="K167" s="389"/>
      <c r="L167" s="389"/>
      <c r="M167" s="389"/>
    </row>
    <row r="168" spans="1:13" outlineLevel="1">
      <c r="A168" s="119"/>
      <c r="B168" s="374" t="s">
        <v>355</v>
      </c>
      <c r="C168" s="373"/>
      <c r="D168" s="373"/>
      <c r="E168" s="373"/>
      <c r="F168" s="373"/>
      <c r="G168" s="373"/>
      <c r="H168" s="389"/>
      <c r="I168" s="389">
        <f>I161</f>
        <v>12383.4512</v>
      </c>
      <c r="J168" s="389">
        <f>J161</f>
        <v>12834.191556450005</v>
      </c>
      <c r="K168" s="389">
        <f>K161</f>
        <v>12686.430377085137</v>
      </c>
      <c r="L168" s="389">
        <f>L161</f>
        <v>13349.957493557908</v>
      </c>
      <c r="M168" s="389">
        <f>M161</f>
        <v>14024.014689741245</v>
      </c>
    </row>
    <row r="169" spans="1:13" outlineLevel="1">
      <c r="A169" s="119"/>
      <c r="B169" s="374" t="s">
        <v>339</v>
      </c>
      <c r="C169" s="373"/>
      <c r="D169" s="373"/>
      <c r="E169" s="373"/>
      <c r="F169" s="373"/>
      <c r="G169" s="373"/>
      <c r="H169" s="389"/>
      <c r="I169" s="407">
        <f>I86</f>
        <v>3445.5400000000004</v>
      </c>
      <c r="J169" s="407">
        <f>J86</f>
        <v>3487.4769946500001</v>
      </c>
      <c r="K169" s="407">
        <f>K86</f>
        <v>3522.5745197118003</v>
      </c>
      <c r="L169" s="407">
        <f>L86</f>
        <v>3554.3918783964446</v>
      </c>
      <c r="M169" s="407">
        <f>M86</f>
        <v>3639.1378324679717</v>
      </c>
    </row>
    <row r="170" spans="1:13" outlineLevel="1">
      <c r="A170" s="119"/>
      <c r="B170" s="374" t="s">
        <v>340</v>
      </c>
      <c r="C170" s="373"/>
      <c r="D170" s="373"/>
      <c r="E170" s="373"/>
      <c r="F170" s="373"/>
      <c r="G170" s="373"/>
      <c r="H170" s="389"/>
      <c r="I170" s="392">
        <f>I112</f>
        <v>-3994.9602182000003</v>
      </c>
      <c r="J170" s="392">
        <f>J112</f>
        <v>-4056.4607538760001</v>
      </c>
      <c r="K170" s="392">
        <f>K112</f>
        <v>-4111.9805963625795</v>
      </c>
      <c r="L170" s="392">
        <f>L112</f>
        <v>-4165.2562821037764</v>
      </c>
      <c r="M170" s="392">
        <f>M112</f>
        <v>-4219.1955990050501</v>
      </c>
    </row>
    <row r="171" spans="1:13" outlineLevel="1">
      <c r="A171" s="119"/>
      <c r="B171" s="374" t="s">
        <v>356</v>
      </c>
      <c r="C171" s="373"/>
      <c r="D171" s="373"/>
      <c r="E171" s="373"/>
      <c r="F171" s="373"/>
      <c r="G171" s="373"/>
      <c r="H171" s="389"/>
      <c r="I171" s="389">
        <f>SUM(I168:I170)</f>
        <v>11834.030981800001</v>
      </c>
      <c r="J171" s="389">
        <f>SUM(J168:J170)</f>
        <v>12265.207797224004</v>
      </c>
      <c r="K171" s="389">
        <f>SUM(K168:K170)</f>
        <v>12097.024300434357</v>
      </c>
      <c r="L171" s="389">
        <f>SUM(L168:L170)</f>
        <v>12739.093089850576</v>
      </c>
      <c r="M171" s="389">
        <f>SUM(M168:M170)</f>
        <v>13443.956923204167</v>
      </c>
    </row>
    <row r="172" spans="1:13" outlineLevel="1">
      <c r="A172" s="119"/>
      <c r="B172" s="374"/>
      <c r="C172" s="373"/>
      <c r="D172" s="373"/>
      <c r="E172" s="373"/>
      <c r="F172" s="373"/>
      <c r="G172" s="373"/>
      <c r="H172" s="389"/>
      <c r="I172" s="389"/>
      <c r="J172" s="389"/>
      <c r="K172" s="389"/>
      <c r="L172" s="389"/>
      <c r="M172" s="389"/>
    </row>
    <row r="173" spans="1:13" outlineLevel="1">
      <c r="A173" s="119"/>
      <c r="B173" s="435" t="s">
        <v>342</v>
      </c>
      <c r="C173" s="373"/>
      <c r="D173" s="373"/>
      <c r="E173" s="373"/>
      <c r="F173" s="373"/>
      <c r="G173" s="373"/>
      <c r="H173" s="389"/>
      <c r="I173" s="389"/>
      <c r="J173" s="389"/>
      <c r="K173" s="389"/>
      <c r="L173" s="389"/>
      <c r="M173" s="389"/>
    </row>
    <row r="174" spans="1:13" outlineLevel="1">
      <c r="A174" s="119"/>
      <c r="B174" s="374" t="s">
        <v>356</v>
      </c>
      <c r="C174" s="373"/>
      <c r="D174" s="373"/>
      <c r="E174" s="373"/>
      <c r="F174" s="373"/>
      <c r="G174" s="373"/>
      <c r="H174" s="389"/>
      <c r="I174" s="389">
        <f>I171</f>
        <v>11834.030981800001</v>
      </c>
      <c r="J174" s="389">
        <f>J171</f>
        <v>12265.207797224004</v>
      </c>
      <c r="K174" s="389">
        <f>K171</f>
        <v>12097.024300434357</v>
      </c>
      <c r="L174" s="389">
        <f>L171</f>
        <v>12739.093089850576</v>
      </c>
      <c r="M174" s="389">
        <f>M171</f>
        <v>13443.956923204167</v>
      </c>
    </row>
    <row r="175" spans="1:13" outlineLevel="1">
      <c r="A175" s="119"/>
      <c r="B175" s="436" t="s">
        <v>343</v>
      </c>
      <c r="C175" s="373"/>
      <c r="D175" s="373"/>
      <c r="E175" s="373"/>
      <c r="F175" s="373"/>
      <c r="G175" s="373"/>
      <c r="H175" s="389"/>
      <c r="I175" s="392">
        <f>I181</f>
        <v>0</v>
      </c>
      <c r="J175" s="392">
        <f>J181</f>
        <v>0</v>
      </c>
      <c r="K175" s="392">
        <f>K181</f>
        <v>0</v>
      </c>
      <c r="L175" s="392">
        <f>L181</f>
        <v>0</v>
      </c>
      <c r="M175" s="392">
        <f>M181</f>
        <v>0</v>
      </c>
    </row>
    <row r="176" spans="1:13" outlineLevel="1">
      <c r="A176" s="119"/>
      <c r="B176" s="374" t="s">
        <v>344</v>
      </c>
      <c r="C176" s="373"/>
      <c r="D176" s="373"/>
      <c r="E176" s="373"/>
      <c r="F176" s="373"/>
      <c r="G176" s="373"/>
      <c r="H176" s="389"/>
      <c r="I176" s="389">
        <f>MAX(SUM(I174:I175),0)</f>
        <v>11834.030981800001</v>
      </c>
      <c r="J176" s="389">
        <f>MAX(SUM(J174:J175),0)</f>
        <v>12265.207797224004</v>
      </c>
      <c r="K176" s="389">
        <f>MAX(SUM(K174:K175),0)</f>
        <v>12097.024300434357</v>
      </c>
      <c r="L176" s="389">
        <f>MAX(SUM(L174:L175),0)</f>
        <v>12739.093089850576</v>
      </c>
      <c r="M176" s="389">
        <f>MAX(SUM(M174:M175),0)</f>
        <v>13443.956923204167</v>
      </c>
    </row>
    <row r="177" spans="1:14" outlineLevel="1">
      <c r="A177" s="119"/>
      <c r="B177" s="374"/>
      <c r="C177" s="373"/>
      <c r="D177" s="373"/>
      <c r="E177" s="373"/>
      <c r="F177" s="373"/>
      <c r="G177" s="373"/>
      <c r="H177" s="389"/>
      <c r="I177" s="389"/>
      <c r="J177" s="389"/>
      <c r="K177" s="389"/>
      <c r="L177" s="389"/>
      <c r="M177" s="389"/>
    </row>
    <row r="178" spans="1:14" outlineLevel="1">
      <c r="A178" s="119"/>
      <c r="B178" s="433" t="s">
        <v>345</v>
      </c>
      <c r="C178" s="373"/>
      <c r="D178" s="373"/>
      <c r="E178" s="373"/>
      <c r="F178" s="373"/>
      <c r="G178" s="373"/>
      <c r="H178" s="389"/>
      <c r="I178" s="389"/>
      <c r="J178" s="389"/>
      <c r="K178" s="389"/>
      <c r="L178" s="389"/>
      <c r="M178" s="389"/>
    </row>
    <row r="179" spans="1:14" outlineLevel="1">
      <c r="A179" s="119"/>
      <c r="B179" s="374" t="s">
        <v>323</v>
      </c>
      <c r="C179" s="373"/>
      <c r="D179" s="373"/>
      <c r="E179" s="373"/>
      <c r="F179" s="373"/>
      <c r="G179" s="373"/>
      <c r="H179" s="389"/>
      <c r="I179" s="389">
        <f>H182</f>
        <v>0</v>
      </c>
      <c r="J179" s="389">
        <f>I182</f>
        <v>0</v>
      </c>
      <c r="K179" s="389">
        <f>J182</f>
        <v>0</v>
      </c>
      <c r="L179" s="389">
        <f>K182</f>
        <v>0</v>
      </c>
      <c r="M179" s="389">
        <f>L182</f>
        <v>0</v>
      </c>
    </row>
    <row r="180" spans="1:14" outlineLevel="1">
      <c r="A180" s="119"/>
      <c r="B180" s="374" t="s">
        <v>346</v>
      </c>
      <c r="C180" s="373"/>
      <c r="D180" s="373"/>
      <c r="E180" s="373"/>
      <c r="F180" s="373"/>
      <c r="G180" s="373"/>
      <c r="H180" s="389"/>
      <c r="I180" s="407">
        <f>-MIN(I171,0)</f>
        <v>0</v>
      </c>
      <c r="J180" s="407">
        <f>-MIN(J171,0)</f>
        <v>0</v>
      </c>
      <c r="K180" s="407">
        <f>-MIN(K171,0)</f>
        <v>0</v>
      </c>
      <c r="L180" s="407">
        <f>-MIN(L171,0)</f>
        <v>0</v>
      </c>
      <c r="M180" s="407">
        <f>-MIN(M171,0)</f>
        <v>0</v>
      </c>
      <c r="N180" s="439"/>
    </row>
    <row r="181" spans="1:14" outlineLevel="1">
      <c r="A181" s="119"/>
      <c r="B181" s="374" t="s">
        <v>347</v>
      </c>
      <c r="C181" s="373"/>
      <c r="D181" s="373"/>
      <c r="E181" s="373"/>
      <c r="F181" s="373"/>
      <c r="G181" s="373"/>
      <c r="H181" s="392"/>
      <c r="I181" s="392">
        <f>-MIN(I179,I174)*I162</f>
        <v>0</v>
      </c>
      <c r="J181" s="392">
        <f>-MIN(J179,J174)*J162</f>
        <v>0</v>
      </c>
      <c r="K181" s="392">
        <f>-MIN(K179,K174)*K162</f>
        <v>0</v>
      </c>
      <c r="L181" s="392">
        <f>-MIN(L179,L174)*L162</f>
        <v>0</v>
      </c>
      <c r="M181" s="392">
        <f>-MIN(M179,M174)*M162</f>
        <v>0</v>
      </c>
    </row>
    <row r="182" spans="1:14" outlineLevel="1">
      <c r="A182" s="119"/>
      <c r="B182" s="374" t="s">
        <v>326</v>
      </c>
      <c r="C182" s="373"/>
      <c r="D182" s="373"/>
      <c r="E182" s="373"/>
      <c r="F182" s="373"/>
      <c r="G182" s="373"/>
      <c r="H182" s="389">
        <f>Input!M177</f>
        <v>0</v>
      </c>
      <c r="I182" s="389">
        <f>SUM(I179:I181)</f>
        <v>0</v>
      </c>
      <c r="J182" s="389">
        <f>SUM(J179:J181)</f>
        <v>0</v>
      </c>
      <c r="K182" s="389">
        <f>SUM(K179:K181)</f>
        <v>0</v>
      </c>
      <c r="L182" s="389">
        <f>SUM(L179:L181)</f>
        <v>0</v>
      </c>
      <c r="M182" s="389">
        <f>SUM(M179:M181)</f>
        <v>0</v>
      </c>
    </row>
    <row r="183" spans="1:14" outlineLevel="1">
      <c r="A183" s="119"/>
      <c r="B183" s="398"/>
      <c r="C183" s="381"/>
      <c r="D183" s="381"/>
      <c r="E183" s="381"/>
      <c r="F183" s="381"/>
      <c r="G183" s="381"/>
      <c r="H183" s="392"/>
      <c r="I183" s="392"/>
      <c r="J183" s="392"/>
      <c r="K183" s="392"/>
      <c r="L183" s="392"/>
      <c r="M183" s="392"/>
    </row>
    <row r="184" spans="1:14" outlineLevel="1">
      <c r="A184" s="119"/>
      <c r="B184" s="374"/>
      <c r="C184" s="373"/>
      <c r="D184" s="373"/>
      <c r="E184" s="373"/>
      <c r="F184" s="373"/>
      <c r="G184" s="373"/>
      <c r="H184" s="389"/>
      <c r="I184" s="389"/>
      <c r="J184" s="389"/>
      <c r="K184" s="389"/>
      <c r="L184" s="389"/>
      <c r="M184" s="437"/>
    </row>
    <row r="185" spans="1:14" outlineLevel="1">
      <c r="A185" s="119"/>
      <c r="B185" s="433" t="s">
        <v>348</v>
      </c>
      <c r="C185" s="373"/>
      <c r="D185" s="373"/>
      <c r="E185" s="373"/>
      <c r="F185" s="373"/>
      <c r="G185" s="373"/>
      <c r="H185" s="389"/>
      <c r="I185" s="389"/>
      <c r="J185" s="389"/>
      <c r="K185" s="389"/>
      <c r="L185" s="389"/>
      <c r="M185" s="437"/>
    </row>
    <row r="186" spans="1:14" outlineLevel="1">
      <c r="A186" s="119"/>
      <c r="B186" s="374" t="s">
        <v>349</v>
      </c>
      <c r="C186" s="373"/>
      <c r="D186" s="373"/>
      <c r="E186" s="373"/>
      <c r="F186" s="373"/>
      <c r="G186" s="373"/>
      <c r="H186" s="389"/>
      <c r="I186" s="389">
        <f>$D$164*I176</f>
        <v>2780.9972807230001</v>
      </c>
      <c r="J186" s="389">
        <f>$D$164*J176</f>
        <v>2882.3238323476407</v>
      </c>
      <c r="K186" s="389">
        <f>$D$164*K176</f>
        <v>2842.8007106020737</v>
      </c>
      <c r="L186" s="389">
        <f>$D$164*L176</f>
        <v>2993.6868761148853</v>
      </c>
      <c r="M186" s="389">
        <f>$D$164*M176</f>
        <v>3159.3298769529788</v>
      </c>
    </row>
    <row r="187" spans="1:14" outlineLevel="1">
      <c r="A187" s="119"/>
      <c r="B187" s="374" t="s">
        <v>350</v>
      </c>
      <c r="C187" s="373"/>
      <c r="D187" s="373"/>
      <c r="E187" s="373"/>
      <c r="F187" s="373"/>
      <c r="G187" s="373"/>
      <c r="H187" s="389"/>
      <c r="I187" s="392">
        <f>I188-I186</f>
        <v>129.11375127699966</v>
      </c>
      <c r="J187" s="392">
        <f>J188-J186</f>
        <v>133.71118341811007</v>
      </c>
      <c r="K187" s="392">
        <f>K188-K186</f>
        <v>138.51042801293306</v>
      </c>
      <c r="L187" s="392">
        <f>L188-L186</f>
        <v>143.55313487122294</v>
      </c>
      <c r="M187" s="392">
        <f>M188-M186</f>
        <v>136.31357513621379</v>
      </c>
    </row>
    <row r="188" spans="1:14" outlineLevel="1">
      <c r="A188" s="119"/>
      <c r="B188" s="374" t="s">
        <v>351</v>
      </c>
      <c r="C188" s="373"/>
      <c r="D188" s="373"/>
      <c r="E188" s="373"/>
      <c r="F188" s="373"/>
      <c r="G188" s="373"/>
      <c r="H188" s="389"/>
      <c r="I188" s="389">
        <f>MAX(I168*$D$164,0)</f>
        <v>2910.1110319999998</v>
      </c>
      <c r="J188" s="389">
        <f>MAX(J168*$D$164,0)</f>
        <v>3016.0350157657508</v>
      </c>
      <c r="K188" s="389">
        <f>MAX(K168*$D$164,0)</f>
        <v>2981.3111386150067</v>
      </c>
      <c r="L188" s="389">
        <f>MAX(L168*$D$164,0)</f>
        <v>3137.2400109861082</v>
      </c>
      <c r="M188" s="389">
        <f>MAX(M168*$D$164,0)</f>
        <v>3295.6434520891926</v>
      </c>
    </row>
    <row r="189" spans="1:14" outlineLevel="1">
      <c r="A189" s="119"/>
      <c r="B189" s="374"/>
      <c r="C189" s="373"/>
      <c r="D189" s="373"/>
      <c r="E189" s="373"/>
      <c r="F189" s="373"/>
      <c r="G189" s="373"/>
      <c r="H189" s="389"/>
      <c r="I189" s="389"/>
      <c r="J189" s="389"/>
      <c r="K189" s="389"/>
      <c r="L189" s="389"/>
      <c r="M189" s="437"/>
    </row>
    <row r="190" spans="1:14" outlineLevel="1">
      <c r="A190" s="119"/>
      <c r="B190" s="374"/>
      <c r="C190" s="373"/>
      <c r="D190" s="373"/>
      <c r="E190" s="373"/>
      <c r="F190" s="373"/>
      <c r="G190" s="373"/>
      <c r="H190" s="389"/>
      <c r="I190" s="389"/>
      <c r="J190" s="389"/>
      <c r="K190" s="389"/>
      <c r="L190" s="389"/>
      <c r="M190" s="438" t="s">
        <v>352</v>
      </c>
    </row>
    <row r="191" spans="1:14" outlineLevel="1">
      <c r="A191" s="119"/>
      <c r="B191" s="374"/>
      <c r="C191" s="373"/>
      <c r="D191" s="373"/>
      <c r="E191" s="373"/>
      <c r="F191" s="373"/>
      <c r="G191" s="373"/>
      <c r="H191" s="389"/>
      <c r="I191" s="389"/>
      <c r="J191" s="389"/>
      <c r="K191" s="389"/>
      <c r="L191" s="389"/>
      <c r="M191" s="437" t="s">
        <v>353</v>
      </c>
    </row>
    <row r="192" spans="1:14" outlineLevel="1">
      <c r="A192" s="119"/>
      <c r="B192" s="398"/>
      <c r="C192" s="381"/>
      <c r="D192" s="381"/>
      <c r="E192" s="381"/>
      <c r="F192" s="381"/>
      <c r="G192" s="381"/>
      <c r="H192" s="392"/>
      <c r="I192" s="392"/>
      <c r="J192" s="392"/>
      <c r="K192" s="392"/>
      <c r="L192" s="392"/>
      <c r="M192" s="392"/>
    </row>
    <row r="193" spans="1:15">
      <c r="A193" s="119"/>
      <c r="B193" s="374"/>
      <c r="C193" s="373"/>
      <c r="D193" s="373"/>
      <c r="E193" s="373"/>
      <c r="F193" s="373"/>
      <c r="G193" s="373"/>
      <c r="H193" s="389"/>
      <c r="I193" s="389"/>
      <c r="J193" s="389"/>
      <c r="K193" s="389"/>
      <c r="L193" s="389"/>
      <c r="M193" s="389"/>
    </row>
    <row r="194" spans="1:15">
      <c r="A194" s="122" t="s">
        <v>26</v>
      </c>
      <c r="B194" s="364" t="s">
        <v>357</v>
      </c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</row>
    <row r="195" spans="1:15" outlineLevel="1">
      <c r="B195" s="440"/>
      <c r="C195" s="441"/>
      <c r="D195" s="442"/>
      <c r="E195" s="442"/>
      <c r="F195" s="443"/>
      <c r="G195" s="443"/>
      <c r="H195" s="443"/>
      <c r="I195" s="443"/>
      <c r="J195" s="443"/>
      <c r="K195" s="443"/>
      <c r="L195" s="443"/>
      <c r="M195" s="443"/>
      <c r="N195" s="443"/>
    </row>
    <row r="196" spans="1:15" ht="17.399999999999999" customHeight="1" outlineLevel="1" thickBot="1">
      <c r="B196" s="369" t="str">
        <f>Input!$B$8</f>
        <v>All figures in CHF millions unless stated</v>
      </c>
      <c r="C196" s="441"/>
      <c r="D196" s="444"/>
      <c r="E196" s="444"/>
      <c r="F196" s="443"/>
      <c r="G196" s="443"/>
      <c r="H196" s="443"/>
      <c r="I196" s="371">
        <f t="shared" ref="I196:N196" si="33">I$2</f>
        <v>2026</v>
      </c>
      <c r="J196" s="371">
        <f t="shared" si="33"/>
        <v>2027</v>
      </c>
      <c r="K196" s="371">
        <f t="shared" si="33"/>
        <v>2028</v>
      </c>
      <c r="L196" s="371">
        <f t="shared" si="33"/>
        <v>2029</v>
      </c>
      <c r="M196" s="371">
        <f t="shared" si="33"/>
        <v>2030</v>
      </c>
      <c r="N196" s="372" t="str">
        <f t="shared" si="33"/>
        <v>Term</v>
      </c>
    </row>
    <row r="197" spans="1:15" ht="17.399999999999999" customHeight="1" outlineLevel="1" thickTop="1">
      <c r="B197" s="369" t="str">
        <f>CONCATENATE("Model Running: ",INDEX(Input!$B$12:$B$14,Input!$D$6)," Drivers")</f>
        <v>Model Running: Base Case Drivers</v>
      </c>
      <c r="C197" s="441"/>
      <c r="D197" s="444"/>
      <c r="E197" s="444"/>
      <c r="F197" s="444"/>
      <c r="G197" s="444"/>
      <c r="H197" s="444"/>
      <c r="I197" s="445"/>
      <c r="J197" s="445"/>
      <c r="K197" s="445"/>
      <c r="L197" s="445"/>
      <c r="M197" s="445"/>
      <c r="N197" s="445"/>
    </row>
    <row r="198" spans="1:15" outlineLevel="1">
      <c r="B198" s="446"/>
      <c r="C198" s="441"/>
      <c r="D198" s="444"/>
      <c r="E198" s="444"/>
      <c r="F198" s="444"/>
      <c r="G198" s="444"/>
      <c r="H198" s="444"/>
      <c r="I198" s="445"/>
      <c r="J198" s="445"/>
      <c r="K198" s="445"/>
      <c r="L198" s="445"/>
      <c r="M198" s="445"/>
      <c r="N198" s="445"/>
    </row>
    <row r="199" spans="1:15" outlineLevel="1">
      <c r="B199" s="447" t="s">
        <v>358</v>
      </c>
      <c r="C199" s="441"/>
      <c r="F199" s="447" t="s">
        <v>359</v>
      </c>
      <c r="G199" s="448" t="s">
        <v>53</v>
      </c>
      <c r="H199" s="444"/>
      <c r="I199" s="445"/>
      <c r="J199" s="445"/>
      <c r="K199" s="445"/>
      <c r="L199" s="445"/>
      <c r="M199" s="445"/>
      <c r="N199" s="445"/>
    </row>
    <row r="200" spans="1:15" outlineLevel="1">
      <c r="B200" s="449" t="s">
        <v>360</v>
      </c>
      <c r="C200" s="441"/>
      <c r="F200" s="450" t="s">
        <v>355</v>
      </c>
      <c r="G200" s="451">
        <f>$N$452</f>
        <v>14234.374910087368</v>
      </c>
      <c r="H200" s="452"/>
      <c r="I200" s="453">
        <f>I186</f>
        <v>2780.9972807230001</v>
      </c>
      <c r="J200" s="453">
        <f>J186</f>
        <v>2882.3238323476407</v>
      </c>
      <c r="K200" s="453">
        <f>K186</f>
        <v>2842.8007106020737</v>
      </c>
      <c r="L200" s="453">
        <f>L186</f>
        <v>2993.6868761148853</v>
      </c>
      <c r="M200" s="453">
        <f>M186</f>
        <v>3159.3298769529788</v>
      </c>
      <c r="N200" s="454">
        <f>G200*$G$202</f>
        <v>3345.0781038705313</v>
      </c>
    </row>
    <row r="201" spans="1:15" outlineLevel="1">
      <c r="B201" s="449" t="s">
        <v>361</v>
      </c>
      <c r="C201" s="441"/>
      <c r="F201" s="455" t="s">
        <v>335</v>
      </c>
      <c r="G201" s="456">
        <f>$N$456</f>
        <v>12799.661692813126</v>
      </c>
      <c r="H201" s="452"/>
      <c r="I201" s="453">
        <f>I148</f>
        <v>2423.3371507229999</v>
      </c>
      <c r="J201" s="453">
        <f>J148</f>
        <v>2530.3826554033953</v>
      </c>
      <c r="K201" s="453">
        <f>K148</f>
        <v>2497.9539858183502</v>
      </c>
      <c r="L201" s="453">
        <f>L148</f>
        <v>2654.9828795596472</v>
      </c>
      <c r="M201" s="453">
        <f>M148</f>
        <v>2827.1548956136226</v>
      </c>
      <c r="N201" s="457">
        <f>G201*$G$202</f>
        <v>3007.9204978110843</v>
      </c>
    </row>
    <row r="202" spans="1:15" outlineLevel="1">
      <c r="B202" s="449" t="s">
        <v>362</v>
      </c>
      <c r="C202" s="442"/>
      <c r="F202" s="458" t="s">
        <v>164</v>
      </c>
      <c r="G202" s="459">
        <f>Input!$M$173</f>
        <v>0.23499999999999999</v>
      </c>
      <c r="H202" s="452"/>
      <c r="I202" s="460">
        <f t="shared" ref="I202:N202" si="34">I200-I201</f>
        <v>357.66013000000021</v>
      </c>
      <c r="J202" s="460">
        <f t="shared" si="34"/>
        <v>351.9411769442454</v>
      </c>
      <c r="K202" s="460">
        <f t="shared" si="34"/>
        <v>344.8467247837234</v>
      </c>
      <c r="L202" s="460">
        <f t="shared" si="34"/>
        <v>338.70399655523806</v>
      </c>
      <c r="M202" s="460">
        <f t="shared" si="34"/>
        <v>332.17498133935624</v>
      </c>
      <c r="N202" s="461">
        <f t="shared" si="34"/>
        <v>337.15760605944706</v>
      </c>
    </row>
    <row r="203" spans="1:15" outlineLevel="1">
      <c r="B203" s="446"/>
      <c r="C203" s="441"/>
      <c r="D203" s="444"/>
      <c r="E203" s="444"/>
      <c r="F203" s="462"/>
      <c r="G203" s="462"/>
      <c r="H203" s="462"/>
      <c r="I203" s="463"/>
      <c r="J203" s="463"/>
      <c r="K203" s="463"/>
      <c r="L203" s="463"/>
      <c r="M203" s="463"/>
      <c r="N203" s="463"/>
    </row>
    <row r="204" spans="1:15" outlineLevel="1">
      <c r="B204" s="446"/>
      <c r="C204" s="441"/>
      <c r="D204" s="444"/>
      <c r="E204" s="444"/>
      <c r="F204" s="444"/>
      <c r="G204" s="444"/>
      <c r="H204" s="444"/>
      <c r="I204" s="445"/>
      <c r="J204" s="445"/>
      <c r="K204" s="445"/>
      <c r="L204" s="445"/>
      <c r="M204" s="445"/>
      <c r="N204" s="445"/>
    </row>
    <row r="205" spans="1:15" outlineLevel="1">
      <c r="B205" s="464"/>
      <c r="C205" s="465"/>
      <c r="D205" s="466"/>
      <c r="E205" s="466"/>
      <c r="F205" s="466"/>
      <c r="G205" s="466"/>
      <c r="H205" s="466"/>
      <c r="I205" s="467"/>
      <c r="J205" s="467"/>
      <c r="K205" s="467"/>
      <c r="L205" s="467"/>
      <c r="M205" s="467"/>
      <c r="N205" s="467"/>
    </row>
    <row r="206" spans="1:15" outlineLevel="1">
      <c r="B206" s="446"/>
      <c r="C206" s="441"/>
      <c r="D206" s="444"/>
      <c r="E206" s="444"/>
      <c r="F206" s="444"/>
      <c r="G206" s="444"/>
      <c r="H206" s="444"/>
      <c r="I206" s="445"/>
      <c r="J206" s="445"/>
      <c r="K206" s="445"/>
      <c r="L206" s="445"/>
      <c r="M206" s="445"/>
      <c r="N206" s="445"/>
    </row>
    <row r="207" spans="1:15" outlineLevel="1">
      <c r="B207" s="447" t="s">
        <v>363</v>
      </c>
      <c r="C207" s="468"/>
      <c r="D207" s="469"/>
      <c r="E207" s="444"/>
      <c r="F207" s="444"/>
      <c r="G207" s="444"/>
      <c r="H207" s="444"/>
      <c r="I207" s="468"/>
      <c r="J207" s="468"/>
      <c r="K207" s="468"/>
      <c r="L207" s="468"/>
      <c r="M207" s="468"/>
      <c r="N207" s="468"/>
    </row>
    <row r="208" spans="1:15" outlineLevel="1">
      <c r="B208" s="470" t="s">
        <v>364</v>
      </c>
      <c r="C208" s="471"/>
      <c r="D208" s="472"/>
      <c r="E208" s="472"/>
      <c r="F208" s="439"/>
      <c r="G208" s="473"/>
      <c r="H208" s="473"/>
      <c r="I208" s="474">
        <f>I452+I86+I474</f>
        <v>16773.334425000001</v>
      </c>
      <c r="J208" s="474">
        <f>J452+J86+J474</f>
        <v>17104.450389356254</v>
      </c>
      <c r="K208" s="474">
        <f>K452+K86+K474</f>
        <v>16857.627513059801</v>
      </c>
      <c r="L208" s="474">
        <f>L452+L86+L474</f>
        <v>17444.761185405045</v>
      </c>
      <c r="M208" s="474">
        <f>M452+M86+M474</f>
        <v>18144.623420539552</v>
      </c>
      <c r="N208" s="475">
        <f>N452+N86-(N447+N451)*N22</f>
        <v>17961.621643581948</v>
      </c>
      <c r="O208" s="439"/>
    </row>
    <row r="209" spans="2:15" outlineLevel="1">
      <c r="B209" s="470" t="s">
        <v>349</v>
      </c>
      <c r="C209" s="471"/>
      <c r="D209" s="472"/>
      <c r="E209" s="472"/>
      <c r="F209" s="439"/>
      <c r="G209" s="473"/>
      <c r="H209" s="473"/>
      <c r="I209" s="474">
        <f t="shared" ref="I209:N209" si="35">-I200</f>
        <v>-2780.9972807230001</v>
      </c>
      <c r="J209" s="474">
        <f t="shared" si="35"/>
        <v>-2882.3238323476407</v>
      </c>
      <c r="K209" s="474">
        <f t="shared" si="35"/>
        <v>-2842.8007106020737</v>
      </c>
      <c r="L209" s="474">
        <f t="shared" si="35"/>
        <v>-2993.6868761148853</v>
      </c>
      <c r="M209" s="474">
        <f t="shared" si="35"/>
        <v>-3159.3298769529788</v>
      </c>
      <c r="N209" s="476">
        <f t="shared" si="35"/>
        <v>-3345.0781038705313</v>
      </c>
      <c r="O209" s="439"/>
    </row>
    <row r="210" spans="2:15" outlineLevel="1">
      <c r="B210" s="470" t="s">
        <v>309</v>
      </c>
      <c r="C210" s="471"/>
      <c r="D210" s="472"/>
      <c r="E210" s="472"/>
      <c r="F210" s="473"/>
      <c r="G210" s="473"/>
      <c r="H210" s="473"/>
      <c r="I210" s="474">
        <f t="shared" ref="I210:N210" si="36">I75+I78</f>
        <v>-4766.6848499999996</v>
      </c>
      <c r="J210" s="474">
        <f t="shared" si="36"/>
        <v>-4746.8986109999996</v>
      </c>
      <c r="K210" s="474">
        <f t="shared" si="36"/>
        <v>-4770.6331040549985</v>
      </c>
      <c r="L210" s="474">
        <f t="shared" si="36"/>
        <v>-4819.2568645386373</v>
      </c>
      <c r="M210" s="474">
        <f t="shared" si="36"/>
        <v>-4954.1960567457181</v>
      </c>
      <c r="N210" s="476">
        <f t="shared" si="36"/>
        <v>-4561.704957411278</v>
      </c>
      <c r="O210" s="439"/>
    </row>
    <row r="211" spans="2:15" outlineLevel="1">
      <c r="B211" s="470" t="s">
        <v>365</v>
      </c>
      <c r="C211" s="471"/>
      <c r="D211" s="472"/>
      <c r="E211" s="472"/>
      <c r="F211" s="473"/>
      <c r="G211" s="473"/>
      <c r="H211" s="473"/>
      <c r="I211" s="474">
        <f t="shared" ref="I211:N211" si="37">I65</f>
        <v>119.12222613698532</v>
      </c>
      <c r="J211" s="474">
        <f t="shared" si="37"/>
        <v>348.47536059198291</v>
      </c>
      <c r="K211" s="474">
        <f t="shared" si="37"/>
        <v>585.5828664604777</v>
      </c>
      <c r="L211" s="474">
        <f t="shared" si="37"/>
        <v>443.36926282632163</v>
      </c>
      <c r="M211" s="474">
        <f t="shared" si="37"/>
        <v>199.48765451615839</v>
      </c>
      <c r="N211" s="476">
        <f t="shared" si="37"/>
        <v>51.615560557974618</v>
      </c>
      <c r="O211" s="439"/>
    </row>
    <row r="212" spans="2:15" ht="17.399999999999999" customHeight="1" outlineLevel="1" thickBot="1">
      <c r="B212" s="470" t="s">
        <v>366</v>
      </c>
      <c r="C212" s="477"/>
      <c r="D212" s="478"/>
      <c r="E212" s="478"/>
      <c r="F212" s="473"/>
      <c r="G212" s="473"/>
      <c r="H212" s="473"/>
      <c r="I212" s="479">
        <f t="shared" ref="I212:N212" si="38">SUM(I208:I211)</f>
        <v>9344.7745204139865</v>
      </c>
      <c r="J212" s="479">
        <f t="shared" si="38"/>
        <v>9823.703306600597</v>
      </c>
      <c r="K212" s="479">
        <f t="shared" si="38"/>
        <v>9829.7765648632048</v>
      </c>
      <c r="L212" s="479">
        <f t="shared" si="38"/>
        <v>10075.186707577845</v>
      </c>
      <c r="M212" s="479">
        <f t="shared" si="38"/>
        <v>10230.585141357014</v>
      </c>
      <c r="N212" s="480">
        <f t="shared" si="38"/>
        <v>10106.454142858112</v>
      </c>
      <c r="O212" s="439"/>
    </row>
    <row r="213" spans="2:15" outlineLevel="1"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81"/>
      <c r="O213" s="439"/>
    </row>
    <row r="214" spans="2:15" outlineLevel="1"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</row>
    <row r="215" spans="2:15" outlineLevel="1">
      <c r="B215" s="482" t="s">
        <v>367</v>
      </c>
      <c r="C215" s="483"/>
      <c r="D215" s="484"/>
      <c r="E215" s="472"/>
      <c r="F215" s="472"/>
      <c r="G215" s="472"/>
      <c r="H215" s="472"/>
      <c r="I215" s="483"/>
      <c r="J215" s="483"/>
      <c r="K215" s="483"/>
      <c r="L215" s="483"/>
      <c r="M215" s="483"/>
      <c r="N215" s="485"/>
      <c r="O215" s="439"/>
    </row>
    <row r="216" spans="2:15" outlineLevel="1">
      <c r="B216" s="470" t="s">
        <v>368</v>
      </c>
      <c r="C216" s="471"/>
      <c r="D216" s="472"/>
      <c r="E216" s="472"/>
      <c r="F216" s="473"/>
      <c r="G216" s="473"/>
      <c r="H216" s="473"/>
      <c r="I216" s="474">
        <f t="shared" ref="I216:N216" si="39">I460-I459</f>
        <v>8309.0422980000003</v>
      </c>
      <c r="J216" s="474">
        <f t="shared" si="39"/>
        <v>8672.4756880785189</v>
      </c>
      <c r="K216" s="474">
        <f t="shared" si="39"/>
        <v>8582.533091833755</v>
      </c>
      <c r="L216" s="474">
        <f t="shared" si="39"/>
        <v>9110.1278767643198</v>
      </c>
      <c r="M216" s="474">
        <f t="shared" si="39"/>
        <v>9647.0356601005296</v>
      </c>
      <c r="N216" s="475">
        <f t="shared" si="39"/>
        <v>9791.7411950020414</v>
      </c>
      <c r="O216" s="439"/>
    </row>
    <row r="217" spans="2:15" outlineLevel="1">
      <c r="B217" s="470" t="s">
        <v>369</v>
      </c>
      <c r="C217" s="471"/>
      <c r="D217" s="472"/>
      <c r="E217" s="472"/>
      <c r="F217" s="473"/>
      <c r="G217" s="473"/>
      <c r="H217" s="473"/>
      <c r="I217" s="474">
        <f>I473+I474</f>
        <v>4389.8832250000005</v>
      </c>
      <c r="J217" s="474">
        <f>J473+J474</f>
        <v>4270.2588329062501</v>
      </c>
      <c r="K217" s="474">
        <f>K473+K474</f>
        <v>4171.1971359746622</v>
      </c>
      <c r="L217" s="474">
        <f>L473+L474</f>
        <v>4094.8036918471362</v>
      </c>
      <c r="M217" s="474">
        <f>M473+M474</f>
        <v>4120.608730798308</v>
      </c>
      <c r="N217" s="476">
        <f>N86-(N447+N451)*N22</f>
        <v>3727.2467334945809</v>
      </c>
      <c r="O217" s="439"/>
    </row>
    <row r="218" spans="2:15" outlineLevel="1">
      <c r="B218" s="470" t="s">
        <v>370</v>
      </c>
      <c r="C218" s="471"/>
      <c r="D218" s="472"/>
      <c r="E218" s="472"/>
      <c r="F218" s="473"/>
      <c r="G218" s="473"/>
      <c r="H218" s="473"/>
      <c r="I218" s="474">
        <f t="shared" ref="I218:N218" si="40">I149</f>
        <v>129.11375127699966</v>
      </c>
      <c r="J218" s="474">
        <f t="shared" si="40"/>
        <v>133.71118341811007</v>
      </c>
      <c r="K218" s="474">
        <f t="shared" si="40"/>
        <v>138.51042801293352</v>
      </c>
      <c r="L218" s="474">
        <f t="shared" si="40"/>
        <v>143.55313487122248</v>
      </c>
      <c r="M218" s="474">
        <f t="shared" si="40"/>
        <v>136.31357513621333</v>
      </c>
      <c r="N218" s="476">
        <f t="shared" si="40"/>
        <v>0</v>
      </c>
      <c r="O218" s="439"/>
    </row>
    <row r="219" spans="2:15" outlineLevel="1">
      <c r="B219" s="470" t="s">
        <v>371</v>
      </c>
      <c r="C219" s="471"/>
      <c r="D219" s="472"/>
      <c r="E219" s="472"/>
      <c r="F219" s="473"/>
      <c r="G219" s="473"/>
      <c r="H219" s="473"/>
      <c r="I219" s="474">
        <f t="shared" ref="I219:N219" si="41">-(I454+I455)</f>
        <v>1521.9580000000001</v>
      </c>
      <c r="J219" s="474">
        <f t="shared" si="41"/>
        <v>1497.6220295499816</v>
      </c>
      <c r="K219" s="474">
        <f t="shared" si="41"/>
        <v>1467.4328714200983</v>
      </c>
      <c r="L219" s="474">
        <f t="shared" si="41"/>
        <v>1441.2936023627162</v>
      </c>
      <c r="M219" s="474">
        <f t="shared" si="41"/>
        <v>1413.5105588908796</v>
      </c>
      <c r="N219" s="476">
        <f t="shared" si="41"/>
        <v>1434.7132172742424</v>
      </c>
      <c r="O219" s="439"/>
    </row>
    <row r="220" spans="2:15" outlineLevel="1">
      <c r="B220" s="470" t="s">
        <v>372</v>
      </c>
      <c r="C220" s="471"/>
      <c r="D220" s="472"/>
      <c r="E220" s="472"/>
      <c r="F220" s="473"/>
      <c r="G220" s="473"/>
      <c r="H220" s="473"/>
      <c r="I220" s="474">
        <f t="shared" ref="I220:N220" si="42">-I202</f>
        <v>-357.66013000000021</v>
      </c>
      <c r="J220" s="474">
        <f t="shared" si="42"/>
        <v>-351.9411769442454</v>
      </c>
      <c r="K220" s="474">
        <f t="shared" si="42"/>
        <v>-344.8467247837234</v>
      </c>
      <c r="L220" s="474">
        <f t="shared" si="42"/>
        <v>-338.70399655523806</v>
      </c>
      <c r="M220" s="474">
        <f t="shared" si="42"/>
        <v>-332.17498133935624</v>
      </c>
      <c r="N220" s="476">
        <f t="shared" si="42"/>
        <v>-337.15760605944706</v>
      </c>
      <c r="O220" s="439"/>
    </row>
    <row r="221" spans="2:15" outlineLevel="1">
      <c r="B221" s="470" t="s">
        <v>309</v>
      </c>
      <c r="C221" s="471"/>
      <c r="D221" s="472"/>
      <c r="E221" s="472"/>
      <c r="F221" s="473"/>
      <c r="G221" s="473"/>
      <c r="H221" s="473"/>
      <c r="I221" s="474">
        <f t="shared" ref="I221:N221" si="43">I75+I78</f>
        <v>-4766.6848499999996</v>
      </c>
      <c r="J221" s="474">
        <f t="shared" si="43"/>
        <v>-4746.8986109999996</v>
      </c>
      <c r="K221" s="474">
        <f t="shared" si="43"/>
        <v>-4770.6331040549985</v>
      </c>
      <c r="L221" s="474">
        <f t="shared" si="43"/>
        <v>-4819.2568645386373</v>
      </c>
      <c r="M221" s="474">
        <f t="shared" si="43"/>
        <v>-4954.1960567457181</v>
      </c>
      <c r="N221" s="476">
        <f t="shared" si="43"/>
        <v>-4561.704957411278</v>
      </c>
      <c r="O221" s="439"/>
    </row>
    <row r="222" spans="2:15" outlineLevel="1">
      <c r="B222" s="470" t="s">
        <v>365</v>
      </c>
      <c r="C222" s="471"/>
      <c r="D222" s="472"/>
      <c r="E222" s="472"/>
      <c r="F222" s="473"/>
      <c r="G222" s="473"/>
      <c r="H222" s="473"/>
      <c r="I222" s="474">
        <f t="shared" ref="I222:N222" si="44">I65</f>
        <v>119.12222613698532</v>
      </c>
      <c r="J222" s="474">
        <f t="shared" si="44"/>
        <v>348.47536059198291</v>
      </c>
      <c r="K222" s="474">
        <f t="shared" si="44"/>
        <v>585.5828664604777</v>
      </c>
      <c r="L222" s="474">
        <f t="shared" si="44"/>
        <v>443.36926282632163</v>
      </c>
      <c r="M222" s="474">
        <f t="shared" si="44"/>
        <v>199.48765451615839</v>
      </c>
      <c r="N222" s="476">
        <f t="shared" si="44"/>
        <v>51.615560557974618</v>
      </c>
      <c r="O222" s="439"/>
    </row>
    <row r="223" spans="2:15" ht="17.399999999999999" customHeight="1" outlineLevel="1" thickBot="1">
      <c r="B223" s="470" t="s">
        <v>366</v>
      </c>
      <c r="C223" s="477"/>
      <c r="D223" s="478"/>
      <c r="E223" s="478"/>
      <c r="F223" s="473"/>
      <c r="G223" s="473"/>
      <c r="H223" s="473"/>
      <c r="I223" s="479">
        <f t="shared" ref="I223:N223" si="45">SUM(I216:I222)</f>
        <v>9344.7745204139883</v>
      </c>
      <c r="J223" s="479">
        <f t="shared" si="45"/>
        <v>9823.7033066006006</v>
      </c>
      <c r="K223" s="479">
        <f t="shared" si="45"/>
        <v>9829.7765648632048</v>
      </c>
      <c r="L223" s="479">
        <f t="shared" si="45"/>
        <v>10075.186707577845</v>
      </c>
      <c r="M223" s="479">
        <f t="shared" si="45"/>
        <v>10230.585141357014</v>
      </c>
      <c r="N223" s="480">
        <f t="shared" si="45"/>
        <v>10106.454142858116</v>
      </c>
      <c r="O223" s="439"/>
    </row>
    <row r="224" spans="2:15" outlineLevel="1"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81"/>
      <c r="O224" s="439"/>
    </row>
    <row r="225" spans="1:15" outlineLevel="1"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</row>
    <row r="226" spans="1:15" outlineLevel="1">
      <c r="B226" s="486" t="s">
        <v>13</v>
      </c>
      <c r="C226" s="487"/>
      <c r="D226" s="488"/>
      <c r="E226" s="488"/>
      <c r="F226" s="489"/>
      <c r="G226" s="489"/>
      <c r="H226" s="489"/>
      <c r="I226" s="490">
        <f t="shared" ref="I226:N226" si="46">IF(ROUND(I212-I223,1)=0,0,1)</f>
        <v>0</v>
      </c>
      <c r="J226" s="491">
        <f t="shared" si="46"/>
        <v>0</v>
      </c>
      <c r="K226" s="491">
        <f t="shared" si="46"/>
        <v>0</v>
      </c>
      <c r="L226" s="491">
        <f t="shared" si="46"/>
        <v>0</v>
      </c>
      <c r="M226" s="491">
        <f t="shared" si="46"/>
        <v>0</v>
      </c>
      <c r="N226" s="492">
        <f t="shared" si="46"/>
        <v>0</v>
      </c>
      <c r="O226" s="439"/>
    </row>
    <row r="227" spans="1:15" outlineLevel="1">
      <c r="B227" s="439"/>
      <c r="C227" s="487"/>
      <c r="D227" s="488"/>
      <c r="E227" s="488"/>
      <c r="F227" s="489"/>
      <c r="G227" s="489"/>
      <c r="H227" s="489"/>
      <c r="I227" s="489"/>
      <c r="J227" s="489"/>
      <c r="K227" s="489"/>
      <c r="L227" s="489"/>
      <c r="M227" s="489"/>
      <c r="N227" s="489"/>
      <c r="O227" s="439"/>
    </row>
    <row r="228" spans="1:15" outlineLevel="1">
      <c r="B228" s="493" t="s">
        <v>373</v>
      </c>
      <c r="C228" s="487"/>
      <c r="D228" s="488"/>
      <c r="E228" s="488"/>
      <c r="F228" s="489"/>
      <c r="G228" s="489"/>
      <c r="H228" s="489"/>
      <c r="I228" s="439"/>
      <c r="J228" s="439"/>
      <c r="K228" s="439"/>
      <c r="L228" s="439"/>
      <c r="M228" s="439"/>
      <c r="N228" s="439"/>
      <c r="O228" s="439"/>
    </row>
    <row r="229" spans="1:15" outlineLevel="1">
      <c r="B229" s="494" t="s">
        <v>366</v>
      </c>
      <c r="C229" s="487"/>
      <c r="D229" s="488"/>
      <c r="E229" s="488"/>
      <c r="F229" s="489"/>
      <c r="G229" s="489"/>
      <c r="H229" s="489"/>
      <c r="I229" s="495">
        <f>I223</f>
        <v>9344.7745204139883</v>
      </c>
      <c r="J229" s="495">
        <f>J223</f>
        <v>9823.7033066006006</v>
      </c>
      <c r="K229" s="495">
        <f>K223</f>
        <v>9829.7765648632048</v>
      </c>
      <c r="L229" s="495">
        <f>L223</f>
        <v>10075.186707577845</v>
      </c>
      <c r="M229" s="495">
        <f>M223</f>
        <v>10230.585141357014</v>
      </c>
      <c r="N229" s="439"/>
      <c r="O229" s="439"/>
    </row>
    <row r="230" spans="1:15" outlineLevel="1">
      <c r="B230" s="494" t="s">
        <v>374</v>
      </c>
      <c r="C230" s="487"/>
      <c r="D230" s="488"/>
      <c r="E230" s="488"/>
      <c r="F230" s="489"/>
      <c r="G230" s="489"/>
      <c r="H230" s="489"/>
      <c r="I230" s="496">
        <f>SUM(I454:I455)</f>
        <v>-1521.9580000000001</v>
      </c>
      <c r="J230" s="496">
        <f>SUM(J454:J455)</f>
        <v>-1497.6220295499816</v>
      </c>
      <c r="K230" s="496">
        <f>SUM(K454:K455)</f>
        <v>-1467.4328714200983</v>
      </c>
      <c r="L230" s="496">
        <f>SUM(L454:L455)</f>
        <v>-1441.2936023627162</v>
      </c>
      <c r="M230" s="496">
        <f>SUM(M454:M455)</f>
        <v>-1413.5105588908796</v>
      </c>
      <c r="N230" s="439"/>
      <c r="O230" s="439"/>
    </row>
    <row r="231" spans="1:15" outlineLevel="1">
      <c r="B231" s="494" t="s">
        <v>375</v>
      </c>
      <c r="C231" s="487"/>
      <c r="D231" s="488"/>
      <c r="E231" s="488"/>
      <c r="F231" s="489"/>
      <c r="G231" s="489"/>
      <c r="H231" s="489"/>
      <c r="I231" s="496">
        <f>I485+I200</f>
        <v>357.66013000000021</v>
      </c>
      <c r="J231" s="496">
        <f>J485+J200</f>
        <v>351.9411769442454</v>
      </c>
      <c r="K231" s="496">
        <f>K485+K200</f>
        <v>344.8467247837234</v>
      </c>
      <c r="L231" s="496">
        <f>L485+L200</f>
        <v>338.70399655523806</v>
      </c>
      <c r="M231" s="496">
        <f>M485+M200</f>
        <v>332.17498133935624</v>
      </c>
      <c r="N231" s="439"/>
      <c r="O231" s="439"/>
    </row>
    <row r="232" spans="1:15" outlineLevel="1">
      <c r="B232" s="494" t="s">
        <v>376</v>
      </c>
      <c r="C232" s="487"/>
      <c r="D232" s="488"/>
      <c r="E232" s="488"/>
      <c r="F232" s="489"/>
      <c r="G232" s="489"/>
      <c r="H232" s="489"/>
      <c r="I232" s="496">
        <f>I486</f>
        <v>786.24</v>
      </c>
      <c r="J232" s="496">
        <f>J486</f>
        <v>749.22300000000007</v>
      </c>
      <c r="K232" s="496">
        <f>K486</f>
        <v>777.73251600000003</v>
      </c>
      <c r="L232" s="496">
        <f>L486</f>
        <v>807.46997687999999</v>
      </c>
      <c r="M232" s="496">
        <f>M486</f>
        <v>839.24326069920005</v>
      </c>
      <c r="N232" s="439"/>
      <c r="O232" s="439"/>
    </row>
    <row r="233" spans="1:15" ht="17.399999999999999" customHeight="1" outlineLevel="1" thickBot="1">
      <c r="B233" s="494" t="s">
        <v>377</v>
      </c>
      <c r="C233" s="487"/>
      <c r="D233" s="488"/>
      <c r="E233" s="488"/>
      <c r="F233" s="489"/>
      <c r="G233" s="489"/>
      <c r="H233" s="489"/>
      <c r="I233" s="497">
        <f>SUM(I229:I232)</f>
        <v>8966.7166504139877</v>
      </c>
      <c r="J233" s="497">
        <f>SUM(J229:J232)</f>
        <v>9427.2454539948649</v>
      </c>
      <c r="K233" s="497">
        <f>SUM(K229:K232)</f>
        <v>9484.92293422683</v>
      </c>
      <c r="L233" s="497">
        <f>SUM(L229:L232)</f>
        <v>9780.0670786503651</v>
      </c>
      <c r="M233" s="497">
        <f>SUM(M229:M232)</f>
        <v>9988.4928245046922</v>
      </c>
      <c r="N233" s="439"/>
      <c r="O233" s="439"/>
    </row>
    <row r="234" spans="1:15" ht="17.399999999999999" customHeight="1" outlineLevel="1" thickTop="1">
      <c r="B234" s="483"/>
      <c r="C234" s="471"/>
      <c r="D234" s="472"/>
      <c r="E234" s="472"/>
      <c r="F234" s="472"/>
      <c r="G234" s="472"/>
      <c r="H234" s="472"/>
      <c r="I234" s="498"/>
      <c r="J234" s="498"/>
      <c r="K234" s="498"/>
      <c r="L234" s="498"/>
      <c r="M234" s="498"/>
      <c r="N234" s="439"/>
      <c r="O234" s="439"/>
    </row>
    <row r="235" spans="1:15" outlineLevel="1">
      <c r="B235" s="483"/>
      <c r="C235" s="471"/>
      <c r="D235" s="472"/>
      <c r="E235" s="472"/>
      <c r="F235" s="472"/>
      <c r="G235" s="472"/>
      <c r="H235" s="472"/>
      <c r="I235" s="499"/>
      <c r="J235" s="499"/>
      <c r="K235" s="499"/>
      <c r="L235" s="499"/>
      <c r="M235" s="500" t="s">
        <v>378</v>
      </c>
      <c r="N235" s="439"/>
      <c r="O235" s="439"/>
    </row>
    <row r="236" spans="1:15" outlineLevel="1"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501" t="s">
        <v>379</v>
      </c>
      <c r="N236" s="439"/>
      <c r="O236" s="439"/>
    </row>
    <row r="237" spans="1:15" outlineLevel="1">
      <c r="B237" s="502"/>
      <c r="C237" s="503"/>
      <c r="D237" s="504"/>
      <c r="E237" s="504"/>
      <c r="F237" s="505"/>
      <c r="G237" s="505"/>
      <c r="H237" s="505"/>
      <c r="I237" s="505"/>
      <c r="J237" s="505"/>
      <c r="K237" s="505"/>
      <c r="L237" s="505"/>
      <c r="M237" s="505"/>
      <c r="N237" s="505"/>
    </row>
    <row r="238" spans="1:15">
      <c r="B238" s="446"/>
      <c r="C238" s="441"/>
      <c r="D238" s="444"/>
      <c r="E238" s="444"/>
      <c r="F238" s="444"/>
      <c r="G238" s="444"/>
      <c r="H238" s="444"/>
      <c r="I238" s="445"/>
      <c r="J238" s="445"/>
      <c r="K238" s="445"/>
      <c r="L238" s="445"/>
      <c r="M238" s="445"/>
      <c r="N238" s="445"/>
    </row>
    <row r="239" spans="1:15">
      <c r="A239" s="122" t="s">
        <v>26</v>
      </c>
      <c r="B239" s="364" t="s">
        <v>380</v>
      </c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</row>
    <row r="240" spans="1:15" outlineLevel="1">
      <c r="B240" s="440"/>
      <c r="C240" s="441"/>
      <c r="D240" s="442"/>
      <c r="E240" s="442"/>
      <c r="F240" s="443"/>
      <c r="G240" s="443"/>
      <c r="H240" s="443"/>
      <c r="I240" s="443"/>
      <c r="J240" s="443"/>
      <c r="K240" s="443"/>
      <c r="L240" s="443"/>
      <c r="M240" s="443"/>
      <c r="N240" s="443"/>
    </row>
    <row r="241" spans="2:14" outlineLevel="1">
      <c r="B241" s="369" t="str">
        <f>Input!$B$8</f>
        <v>All figures in CHF millions unless stated</v>
      </c>
      <c r="C241" s="441"/>
      <c r="D241" s="442"/>
      <c r="E241" s="442"/>
      <c r="F241" s="468"/>
      <c r="G241" s="468"/>
      <c r="H241" s="468"/>
      <c r="I241" s="468"/>
      <c r="J241" s="468"/>
      <c r="K241" s="468"/>
      <c r="L241" s="468"/>
      <c r="M241" s="468"/>
      <c r="N241" s="468"/>
    </row>
    <row r="242" spans="2:14" outlineLevel="1">
      <c r="B242" s="369" t="str">
        <f>CONCATENATE("Model Running: ",INDEX(Input!$B$12:$B$14,Input!$D$6)," Drivers")</f>
        <v>Model Running: Base Case Drivers</v>
      </c>
      <c r="C242" s="468"/>
      <c r="D242" s="468"/>
      <c r="E242" s="444"/>
      <c r="F242" s="443"/>
      <c r="G242" s="443"/>
      <c r="H242" s="506" t="s">
        <v>204</v>
      </c>
      <c r="I242" s="507" t="s">
        <v>381</v>
      </c>
      <c r="J242" s="508"/>
      <c r="K242" s="508"/>
      <c r="L242" s="508"/>
      <c r="M242" s="508"/>
      <c r="N242" s="506" t="s">
        <v>53</v>
      </c>
    </row>
    <row r="243" spans="2:14" outlineLevel="1">
      <c r="B243" s="468"/>
      <c r="C243" s="468"/>
      <c r="D243" s="468"/>
      <c r="E243" s="444"/>
      <c r="F243" s="468"/>
      <c r="G243" s="468"/>
      <c r="H243" s="509" t="s">
        <v>193</v>
      </c>
      <c r="I243" s="510" t="s">
        <v>193</v>
      </c>
      <c r="J243" s="510" t="s">
        <v>193</v>
      </c>
      <c r="K243" s="510" t="s">
        <v>193</v>
      </c>
      <c r="L243" s="510" t="s">
        <v>193</v>
      </c>
      <c r="M243" s="511" t="s">
        <v>193</v>
      </c>
      <c r="N243" s="512" t="s">
        <v>193</v>
      </c>
    </row>
    <row r="244" spans="2:14" outlineLevel="1">
      <c r="C244" s="513" t="s">
        <v>382</v>
      </c>
      <c r="D244" s="514">
        <f>Output!$O$13</f>
        <v>1.4999999999999999E-2</v>
      </c>
      <c r="E244" s="444"/>
      <c r="F244" s="515" t="s">
        <v>383</v>
      </c>
      <c r="G244" s="468"/>
      <c r="H244" s="516">
        <f>Input!F$196</f>
        <v>46203</v>
      </c>
      <c r="I244" s="517">
        <f>Input!$F$198</f>
        <v>46387</v>
      </c>
      <c r="J244" s="517">
        <f>EDATE(I244,12)</f>
        <v>46752</v>
      </c>
      <c r="K244" s="517">
        <f>EDATE(J244,12)</f>
        <v>47118</v>
      </c>
      <c r="L244" s="517">
        <f>EDATE(K244,12)</f>
        <v>47483</v>
      </c>
      <c r="M244" s="518">
        <f>EDATE(L244,12)</f>
        <v>47848</v>
      </c>
      <c r="N244" s="518">
        <f>EDATE(M244,12)</f>
        <v>48213</v>
      </c>
    </row>
    <row r="245" spans="2:14" ht="17.399999999999999" customHeight="1" outlineLevel="1" thickBot="1">
      <c r="C245" s="519" t="s">
        <v>39</v>
      </c>
      <c r="D245" s="520">
        <f>Output!$O$14</f>
        <v>5.0865748886442602E-2</v>
      </c>
      <c r="E245" s="442"/>
      <c r="F245" s="515" t="s">
        <v>384</v>
      </c>
      <c r="G245" s="468"/>
      <c r="H245" s="521">
        <f>H244</f>
        <v>46203</v>
      </c>
      <c r="I245" s="522">
        <f>Input!$F$197</f>
        <v>46295</v>
      </c>
      <c r="J245" s="522">
        <f>EDATE(J244,-6)</f>
        <v>46568</v>
      </c>
      <c r="K245" s="522">
        <f>EDATE(K244,-6)</f>
        <v>46934</v>
      </c>
      <c r="L245" s="522">
        <f>EDATE(L244,-6)</f>
        <v>47299</v>
      </c>
      <c r="M245" s="523">
        <f>EDATE(M244,-6)</f>
        <v>47664</v>
      </c>
      <c r="N245" s="523">
        <f>EDATE(N244,-6)</f>
        <v>48029</v>
      </c>
    </row>
    <row r="246" spans="2:14" outlineLevel="1">
      <c r="B246" s="440"/>
      <c r="C246" s="441"/>
      <c r="D246" s="442"/>
      <c r="E246" s="442"/>
      <c r="F246" s="443"/>
      <c r="G246" s="443"/>
      <c r="H246" s="443"/>
      <c r="I246" s="443"/>
      <c r="J246" s="443"/>
      <c r="K246" s="443"/>
      <c r="L246" s="443"/>
      <c r="M246" s="443"/>
      <c r="N246" s="443"/>
    </row>
    <row r="247" spans="2:14" outlineLevel="1">
      <c r="B247" s="524" t="s">
        <v>366</v>
      </c>
      <c r="C247" s="468"/>
      <c r="D247" s="444"/>
      <c r="E247" s="444"/>
      <c r="F247" s="452"/>
      <c r="G247" s="452"/>
      <c r="H247" s="525">
        <v>0</v>
      </c>
      <c r="I247" s="526">
        <f t="shared" ref="I247:N247" si="47">I223</f>
        <v>9344.7745204139883</v>
      </c>
      <c r="J247" s="526">
        <f t="shared" si="47"/>
        <v>9823.7033066006006</v>
      </c>
      <c r="K247" s="526">
        <f t="shared" si="47"/>
        <v>9829.7765648632048</v>
      </c>
      <c r="L247" s="526">
        <f t="shared" si="47"/>
        <v>10075.186707577845</v>
      </c>
      <c r="M247" s="526">
        <f t="shared" si="47"/>
        <v>10230.585141357014</v>
      </c>
      <c r="N247" s="461">
        <f t="shared" si="47"/>
        <v>10106.454142858116</v>
      </c>
    </row>
    <row r="248" spans="2:14" outlineLevel="1"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</row>
    <row r="249" spans="2:14" outlineLevel="1">
      <c r="B249" s="446"/>
      <c r="C249" s="468"/>
      <c r="E249" s="444"/>
      <c r="G249" s="444"/>
      <c r="H249" s="444"/>
      <c r="I249" s="445"/>
      <c r="J249" s="445"/>
      <c r="K249" s="445"/>
      <c r="L249" s="445"/>
      <c r="M249" s="445"/>
      <c r="N249" s="468"/>
    </row>
    <row r="250" spans="2:14" outlineLevel="1">
      <c r="B250" s="447" t="s">
        <v>385</v>
      </c>
      <c r="C250" s="468"/>
      <c r="E250" s="444"/>
      <c r="G250" s="444"/>
      <c r="H250" s="444"/>
      <c r="I250" s="445"/>
      <c r="J250" s="445"/>
      <c r="K250" s="445"/>
      <c r="L250" s="445"/>
      <c r="M250" s="445"/>
      <c r="N250" s="468"/>
    </row>
    <row r="251" spans="2:14" outlineLevel="1">
      <c r="B251" s="527" t="s">
        <v>381</v>
      </c>
      <c r="C251" s="468"/>
      <c r="D251" s="528"/>
      <c r="E251" s="444"/>
      <c r="G251" s="452"/>
      <c r="H251" s="529">
        <v>0</v>
      </c>
      <c r="I251" s="530">
        <f>I247</f>
        <v>9344.7745204139883</v>
      </c>
      <c r="J251" s="530">
        <f>J247</f>
        <v>9823.7033066006006</v>
      </c>
      <c r="K251" s="530">
        <f>K247</f>
        <v>9829.7765648632048</v>
      </c>
      <c r="L251" s="530">
        <f>L247</f>
        <v>10075.186707577845</v>
      </c>
      <c r="M251" s="530">
        <f>M247</f>
        <v>10230.585141357014</v>
      </c>
      <c r="N251" s="531"/>
    </row>
    <row r="252" spans="2:14" outlineLevel="1">
      <c r="B252" s="527" t="s">
        <v>386</v>
      </c>
      <c r="C252" s="468"/>
      <c r="D252" s="444"/>
      <c r="E252" s="444"/>
      <c r="G252" s="452"/>
      <c r="H252" s="532">
        <v>0</v>
      </c>
      <c r="I252" s="532">
        <v>0</v>
      </c>
      <c r="J252" s="532">
        <v>0</v>
      </c>
      <c r="K252" s="532">
        <v>0</v>
      </c>
      <c r="L252" s="532">
        <v>0</v>
      </c>
      <c r="M252" s="533">
        <f>N247/(D245-D244)</f>
        <v>281785.67175209319</v>
      </c>
      <c r="N252" s="531"/>
    </row>
    <row r="253" spans="2:14" outlineLevel="1">
      <c r="B253" s="527" t="s">
        <v>387</v>
      </c>
      <c r="C253" s="468"/>
      <c r="D253" s="534"/>
      <c r="E253" s="534"/>
      <c r="F253" s="452"/>
      <c r="G253" s="452"/>
      <c r="H253" s="530">
        <f t="shared" ref="H253:M253" si="48">SUM(H251:H252)</f>
        <v>0</v>
      </c>
      <c r="I253" s="530">
        <f t="shared" si="48"/>
        <v>9344.7745204139883</v>
      </c>
      <c r="J253" s="530">
        <f t="shared" si="48"/>
        <v>9823.7033066006006</v>
      </c>
      <c r="K253" s="530">
        <f t="shared" si="48"/>
        <v>9829.7765648632048</v>
      </c>
      <c r="L253" s="530">
        <f t="shared" si="48"/>
        <v>10075.186707577845</v>
      </c>
      <c r="M253" s="530">
        <f t="shared" si="48"/>
        <v>292016.25689345022</v>
      </c>
      <c r="N253" s="452"/>
    </row>
    <row r="254" spans="2:14" outlineLevel="1">
      <c r="B254" s="447"/>
      <c r="C254" s="468"/>
      <c r="D254" s="444"/>
      <c r="E254" s="444"/>
      <c r="F254" s="462"/>
      <c r="G254" s="462"/>
      <c r="H254" s="462"/>
      <c r="I254" s="462"/>
      <c r="J254" s="462"/>
      <c r="K254" s="462"/>
      <c r="L254" s="462"/>
    </row>
    <row r="255" spans="2:14" outlineLevel="1">
      <c r="B255" s="447" t="s">
        <v>388</v>
      </c>
      <c r="C255" s="468"/>
      <c r="D255" s="444"/>
      <c r="E255" s="444"/>
      <c r="G255" s="444"/>
      <c r="H255" s="444"/>
      <c r="I255" s="445"/>
      <c r="J255" s="445"/>
      <c r="K255" s="445"/>
      <c r="L255" s="445"/>
      <c r="M255" s="445"/>
      <c r="N255" s="452"/>
    </row>
    <row r="256" spans="2:14" outlineLevel="1">
      <c r="B256" s="449" t="s">
        <v>389</v>
      </c>
      <c r="C256" s="468"/>
      <c r="D256" s="444"/>
      <c r="E256" s="444"/>
      <c r="F256" s="462"/>
      <c r="G256" s="462"/>
      <c r="H256" s="529">
        <v>0</v>
      </c>
      <c r="I256" s="535">
        <f>YEARFRAC(I244,H244)</f>
        <v>0.5</v>
      </c>
      <c r="J256" s="535">
        <f>YEARFRAC(J244,I244)</f>
        <v>1</v>
      </c>
      <c r="K256" s="535">
        <f>YEARFRAC(K244,J244)</f>
        <v>1</v>
      </c>
      <c r="L256" s="535">
        <f>YEARFRAC(L244,K244)</f>
        <v>1</v>
      </c>
      <c r="M256" s="535">
        <f>YEARFRAC(M244,L244)</f>
        <v>1</v>
      </c>
      <c r="N256" s="452"/>
    </row>
    <row r="257" spans="2:14" outlineLevel="1">
      <c r="B257" s="449"/>
      <c r="C257" s="468"/>
      <c r="D257" s="444"/>
      <c r="E257" s="444"/>
      <c r="F257" s="462"/>
      <c r="G257" s="462"/>
      <c r="H257" s="529"/>
      <c r="I257" s="535"/>
      <c r="J257" s="535"/>
      <c r="K257" s="535"/>
      <c r="L257" s="535"/>
      <c r="M257" s="535"/>
      <c r="N257" s="452"/>
    </row>
    <row r="258" spans="2:14" outlineLevel="1">
      <c r="B258" s="527" t="s">
        <v>381</v>
      </c>
      <c r="C258" s="468"/>
      <c r="D258" s="528"/>
      <c r="E258" s="444"/>
      <c r="G258" s="452"/>
      <c r="H258" s="529">
        <v>0</v>
      </c>
      <c r="I258" s="530">
        <f t="shared" ref="I258:M259" si="49">I251*I$256</f>
        <v>4672.3872602069941</v>
      </c>
      <c r="J258" s="530">
        <f t="shared" si="49"/>
        <v>9823.7033066006006</v>
      </c>
      <c r="K258" s="530">
        <f t="shared" si="49"/>
        <v>9829.7765648632048</v>
      </c>
      <c r="L258" s="530">
        <f t="shared" si="49"/>
        <v>10075.186707577845</v>
      </c>
      <c r="M258" s="530">
        <f t="shared" si="49"/>
        <v>10230.585141357014</v>
      </c>
      <c r="N258" s="452"/>
    </row>
    <row r="259" spans="2:14" outlineLevel="1">
      <c r="B259" s="527" t="s">
        <v>386</v>
      </c>
      <c r="C259" s="468"/>
      <c r="D259" s="444"/>
      <c r="E259" s="444"/>
      <c r="G259" s="452"/>
      <c r="H259" s="532">
        <v>0</v>
      </c>
      <c r="I259" s="533">
        <f t="shared" si="49"/>
        <v>0</v>
      </c>
      <c r="J259" s="533">
        <f t="shared" si="49"/>
        <v>0</v>
      </c>
      <c r="K259" s="533">
        <f t="shared" si="49"/>
        <v>0</v>
      </c>
      <c r="L259" s="533">
        <f t="shared" si="49"/>
        <v>0</v>
      </c>
      <c r="M259" s="533">
        <f t="shared" si="49"/>
        <v>281785.67175209319</v>
      </c>
      <c r="N259" s="452"/>
    </row>
    <row r="260" spans="2:14" outlineLevel="1">
      <c r="B260" s="527" t="s">
        <v>387</v>
      </c>
      <c r="C260" s="468"/>
      <c r="D260" s="534"/>
      <c r="E260" s="534"/>
      <c r="F260" s="452"/>
      <c r="G260" s="452"/>
      <c r="H260" s="530">
        <f t="shared" ref="H260:M260" si="50">SUM(H258:H259)</f>
        <v>0</v>
      </c>
      <c r="I260" s="530">
        <f t="shared" si="50"/>
        <v>4672.3872602069941</v>
      </c>
      <c r="J260" s="530">
        <f t="shared" si="50"/>
        <v>9823.7033066006006</v>
      </c>
      <c r="K260" s="530">
        <f t="shared" si="50"/>
        <v>9829.7765648632048</v>
      </c>
      <c r="L260" s="530">
        <f t="shared" si="50"/>
        <v>10075.186707577845</v>
      </c>
      <c r="M260" s="530">
        <f t="shared" si="50"/>
        <v>292016.25689345022</v>
      </c>
      <c r="N260" s="452"/>
    </row>
    <row r="261" spans="2:14" outlineLevel="1">
      <c r="B261" s="449"/>
      <c r="C261" s="468"/>
      <c r="D261" s="444"/>
      <c r="E261" s="444"/>
      <c r="F261" s="462"/>
      <c r="G261" s="462"/>
      <c r="H261" s="529"/>
      <c r="I261" s="535"/>
      <c r="J261" s="535"/>
      <c r="K261" s="535"/>
      <c r="L261" s="535"/>
      <c r="M261" s="535"/>
      <c r="N261" s="452"/>
    </row>
    <row r="262" spans="2:14" outlineLevel="1">
      <c r="B262" s="447" t="s">
        <v>390</v>
      </c>
      <c r="C262" s="468"/>
      <c r="D262" s="444"/>
      <c r="E262" s="444"/>
      <c r="G262" s="444"/>
      <c r="H262" s="444"/>
      <c r="I262" s="445"/>
      <c r="J262" s="445"/>
      <c r="K262" s="445"/>
      <c r="L262" s="445"/>
      <c r="M262" s="445"/>
      <c r="N262" s="452"/>
    </row>
    <row r="263" spans="2:14" outlineLevel="1">
      <c r="B263" s="449" t="s">
        <v>391</v>
      </c>
      <c r="D263" s="444"/>
      <c r="E263" s="444"/>
      <c r="F263" s="452"/>
      <c r="G263" s="452"/>
      <c r="H263" s="536">
        <v>0</v>
      </c>
      <c r="I263" s="537">
        <f>H263+YEARFRAC(H245,I245)</f>
        <v>0.25</v>
      </c>
      <c r="J263" s="537">
        <f>I263+YEARFRAC(I245,J245)</f>
        <v>1</v>
      </c>
      <c r="K263" s="537">
        <f>J263+YEARFRAC(J245,K245)</f>
        <v>2</v>
      </c>
      <c r="L263" s="537">
        <f>K263+YEARFRAC(K245,L245)</f>
        <v>3</v>
      </c>
      <c r="M263" s="537">
        <f>L263+YEARFRAC(L245,M245)</f>
        <v>4</v>
      </c>
      <c r="N263" s="452"/>
    </row>
    <row r="264" spans="2:14" outlineLevel="1">
      <c r="B264" s="449"/>
      <c r="D264" s="444"/>
      <c r="E264" s="444"/>
      <c r="F264" s="452"/>
      <c r="G264" s="452"/>
      <c r="H264" s="536"/>
      <c r="I264" s="537"/>
      <c r="J264" s="537"/>
      <c r="K264" s="537"/>
      <c r="L264" s="537"/>
      <c r="M264" s="537"/>
      <c r="N264" s="452"/>
    </row>
    <row r="265" spans="2:14" outlineLevel="1">
      <c r="B265" s="527" t="s">
        <v>381</v>
      </c>
      <c r="C265" s="468"/>
      <c r="D265" s="528"/>
      <c r="E265" s="444"/>
      <c r="G265" s="452"/>
      <c r="H265" s="538">
        <v>0</v>
      </c>
      <c r="I265" s="530">
        <f t="shared" ref="I265:M266" si="51">I258/(1+$D$245)^I$263</f>
        <v>4614.7908388110727</v>
      </c>
      <c r="J265" s="530">
        <f t="shared" si="51"/>
        <v>9348.2001073975043</v>
      </c>
      <c r="K265" s="530">
        <f t="shared" si="51"/>
        <v>8901.2125551159679</v>
      </c>
      <c r="L265" s="530">
        <f t="shared" si="51"/>
        <v>8681.8322740128606</v>
      </c>
      <c r="M265" s="530">
        <f t="shared" si="51"/>
        <v>8389.0257063440804</v>
      </c>
      <c r="N265" s="452"/>
    </row>
    <row r="266" spans="2:14" outlineLevel="1">
      <c r="B266" s="527" t="s">
        <v>386</v>
      </c>
      <c r="C266" s="468"/>
      <c r="D266" s="444"/>
      <c r="E266" s="444"/>
      <c r="G266" s="452"/>
      <c r="H266" s="532">
        <v>0</v>
      </c>
      <c r="I266" s="533">
        <f t="shared" si="51"/>
        <v>0</v>
      </c>
      <c r="J266" s="533">
        <f t="shared" si="51"/>
        <v>0</v>
      </c>
      <c r="K266" s="533">
        <f t="shared" si="51"/>
        <v>0</v>
      </c>
      <c r="L266" s="533">
        <f t="shared" si="51"/>
        <v>0</v>
      </c>
      <c r="M266" s="533">
        <f t="shared" si="51"/>
        <v>231062.7604721922</v>
      </c>
      <c r="N266" s="452"/>
    </row>
    <row r="267" spans="2:14" outlineLevel="1">
      <c r="B267" s="527" t="s">
        <v>387</v>
      </c>
      <c r="C267" s="468"/>
      <c r="D267" s="534"/>
      <c r="E267" s="534"/>
      <c r="F267" s="452"/>
      <c r="G267" s="452"/>
      <c r="H267" s="530">
        <f t="shared" ref="H267:M267" si="52">SUM(H265:H266)</f>
        <v>0</v>
      </c>
      <c r="I267" s="530">
        <f t="shared" si="52"/>
        <v>4614.7908388110727</v>
      </c>
      <c r="J267" s="530">
        <f t="shared" si="52"/>
        <v>9348.2001073975043</v>
      </c>
      <c r="K267" s="530">
        <f t="shared" si="52"/>
        <v>8901.2125551159679</v>
      </c>
      <c r="L267" s="530">
        <f t="shared" si="52"/>
        <v>8681.8322740128606</v>
      </c>
      <c r="M267" s="530">
        <f t="shared" si="52"/>
        <v>239451.78617853628</v>
      </c>
      <c r="N267" s="452"/>
    </row>
    <row r="268" spans="2:14" outlineLevel="1">
      <c r="B268" s="449"/>
      <c r="C268" s="468"/>
      <c r="D268" s="444"/>
      <c r="E268" s="444"/>
      <c r="F268" s="462"/>
      <c r="G268" s="462"/>
      <c r="H268" s="529"/>
      <c r="I268" s="535"/>
      <c r="J268" s="535"/>
      <c r="K268" s="535"/>
      <c r="L268" s="535"/>
      <c r="M268" s="535"/>
      <c r="N268" s="452"/>
    </row>
    <row r="269" spans="2:14" outlineLevel="1">
      <c r="F269" s="539"/>
      <c r="G269" s="539"/>
      <c r="H269" s="539"/>
      <c r="I269" s="539"/>
      <c r="J269" s="539"/>
      <c r="K269" s="539"/>
      <c r="L269" s="539"/>
      <c r="M269" s="539"/>
    </row>
    <row r="270" spans="2:14" outlineLevel="1">
      <c r="E270" s="540" t="s">
        <v>392</v>
      </c>
      <c r="G270" s="541"/>
      <c r="H270" s="539"/>
      <c r="I270" s="539"/>
      <c r="J270" s="540" t="s">
        <v>392</v>
      </c>
      <c r="K270" s="541"/>
      <c r="L270" s="539"/>
      <c r="M270" s="539"/>
    </row>
    <row r="271" spans="2:14" outlineLevel="1">
      <c r="E271" s="542" t="s">
        <v>393</v>
      </c>
      <c r="F271" s="543"/>
      <c r="G271" s="451">
        <f>SUM(I267:M267)</f>
        <v>270997.82195387367</v>
      </c>
      <c r="I271" s="539"/>
      <c r="J271" s="544" t="s">
        <v>394</v>
      </c>
      <c r="K271" s="545"/>
      <c r="L271" s="546">
        <f>M271/$M$273</f>
        <v>0.1473630348530211</v>
      </c>
      <c r="M271" s="547">
        <f>SUM(I265:M265)</f>
        <v>39935.061481681492</v>
      </c>
    </row>
    <row r="272" spans="2:14" ht="17.399999999999999" customHeight="1" outlineLevel="1">
      <c r="E272" s="548" t="s">
        <v>395</v>
      </c>
      <c r="F272" s="549"/>
      <c r="G272" s="550">
        <f>XNPV($D$245,H260:M260,H245:M245)</f>
        <v>270962.41521475755</v>
      </c>
      <c r="I272" s="539"/>
      <c r="J272" s="551" t="s">
        <v>396</v>
      </c>
      <c r="K272" s="552"/>
      <c r="L272" s="553">
        <f>M272/$M$273</f>
        <v>0.85263696514697895</v>
      </c>
      <c r="M272" s="554">
        <f>SUM(I266:M266)</f>
        <v>231062.7604721922</v>
      </c>
    </row>
    <row r="273" spans="1:14" outlineLevel="1">
      <c r="I273" s="539"/>
      <c r="J273" s="551" t="s">
        <v>397</v>
      </c>
      <c r="K273" s="552"/>
      <c r="L273" s="555">
        <f>M273/$M$273</f>
        <v>1</v>
      </c>
      <c r="M273" s="556">
        <f>SUM(M271:M272)</f>
        <v>270997.82195387367</v>
      </c>
    </row>
    <row r="274" spans="1:14" outlineLevel="1">
      <c r="E274" s="539"/>
      <c r="G274" s="539"/>
      <c r="I274" s="539"/>
      <c r="J274" s="557" t="s">
        <v>398</v>
      </c>
      <c r="K274" s="558"/>
      <c r="L274" s="558"/>
      <c r="M274" s="559">
        <f>M252/N208</f>
        <v>15.68820885684233</v>
      </c>
    </row>
    <row r="275" spans="1:14" outlineLevel="1">
      <c r="E275" s="539"/>
      <c r="G275" s="539"/>
      <c r="I275" s="539"/>
      <c r="J275" s="539"/>
      <c r="K275" s="539"/>
      <c r="L275" s="539"/>
      <c r="M275" s="539"/>
    </row>
    <row r="276" spans="1:14" outlineLevel="1">
      <c r="E276" s="540" t="s">
        <v>399</v>
      </c>
      <c r="G276" s="539"/>
      <c r="I276" s="539"/>
      <c r="J276" s="540" t="s">
        <v>400</v>
      </c>
      <c r="K276" s="452"/>
      <c r="L276" s="539"/>
      <c r="M276" s="539"/>
    </row>
    <row r="277" spans="1:14" outlineLevel="1">
      <c r="E277" s="544" t="s">
        <v>397</v>
      </c>
      <c r="F277" s="560"/>
      <c r="G277" s="547">
        <f>G272</f>
        <v>270962.41521475755</v>
      </c>
      <c r="I277" s="539"/>
      <c r="J277" s="544" t="s">
        <v>48</v>
      </c>
      <c r="K277" s="545"/>
      <c r="L277" s="545"/>
      <c r="M277" s="547">
        <f>G282</f>
        <v>250575.93511475757</v>
      </c>
    </row>
    <row r="278" spans="1:14" outlineLevel="1">
      <c r="E278" s="551" t="s">
        <v>401</v>
      </c>
      <c r="G278" s="556">
        <f>-Input!N196</f>
        <v>-56344</v>
      </c>
      <c r="I278" s="539"/>
      <c r="J278" s="551" t="s">
        <v>42</v>
      </c>
      <c r="K278" s="552"/>
      <c r="L278" s="561" t="s">
        <v>43</v>
      </c>
      <c r="M278" s="556">
        <f>Input!F207</f>
        <v>2573</v>
      </c>
    </row>
    <row r="279" spans="1:14" outlineLevel="1">
      <c r="E279" s="551" t="s">
        <v>402</v>
      </c>
      <c r="G279" s="556">
        <f>-Input!$N$197</f>
        <v>-248</v>
      </c>
      <c r="I279" s="539"/>
      <c r="J279" s="551" t="s">
        <v>48</v>
      </c>
      <c r="K279" s="552"/>
      <c r="L279" s="561" t="s">
        <v>45</v>
      </c>
      <c r="M279" s="562">
        <f>M277/M278</f>
        <v>97.386682905074835</v>
      </c>
    </row>
    <row r="280" spans="1:14" outlineLevel="1">
      <c r="C280" s="452"/>
      <c r="E280" s="551" t="s">
        <v>403</v>
      </c>
      <c r="G280" s="556">
        <f>Input!$N$198</f>
        <v>37092.519899999999</v>
      </c>
      <c r="I280" s="539"/>
      <c r="J280" s="551" t="s">
        <v>404</v>
      </c>
      <c r="K280" s="552"/>
      <c r="L280" s="563" t="s">
        <v>45</v>
      </c>
      <c r="M280" s="562">
        <f>Input!$F$208</f>
        <v>74.63</v>
      </c>
    </row>
    <row r="281" spans="1:14" outlineLevel="1">
      <c r="C281" s="452"/>
      <c r="E281" s="551" t="s">
        <v>405</v>
      </c>
      <c r="G281" s="556">
        <f>-Input!$N$199</f>
        <v>-887</v>
      </c>
      <c r="I281" s="539"/>
      <c r="J281" s="557" t="s">
        <v>406</v>
      </c>
      <c r="K281" s="558"/>
      <c r="L281" s="558"/>
      <c r="M281" s="564">
        <f>M279/M280-1</f>
        <v>0.30492674400475472</v>
      </c>
    </row>
    <row r="282" spans="1:14" outlineLevel="1">
      <c r="B282" s="468"/>
      <c r="C282" s="441"/>
      <c r="D282" s="444"/>
      <c r="E282" s="557" t="s">
        <v>48</v>
      </c>
      <c r="F282" s="565"/>
      <c r="G282" s="566">
        <f>SUM(G277:G281)</f>
        <v>250575.93511475757</v>
      </c>
      <c r="I282" s="567"/>
      <c r="J282" s="567"/>
      <c r="K282" s="567"/>
      <c r="L282" s="567"/>
      <c r="N282" s="468"/>
    </row>
    <row r="283" spans="1:14" outlineLevel="1">
      <c r="B283" s="468"/>
      <c r="C283" s="441"/>
      <c r="D283" s="444"/>
      <c r="E283" s="568"/>
      <c r="G283" s="569"/>
      <c r="I283" s="567"/>
      <c r="J283" s="567"/>
      <c r="K283" s="567"/>
      <c r="L283" s="567"/>
      <c r="N283" s="468"/>
    </row>
    <row r="284" spans="1:14" outlineLevel="1">
      <c r="B284" s="468"/>
      <c r="C284" s="441"/>
      <c r="D284" s="444"/>
      <c r="E284" s="444"/>
      <c r="F284" s="444"/>
      <c r="G284" s="444"/>
      <c r="H284" s="444"/>
      <c r="I284" s="445"/>
      <c r="J284" s="445"/>
      <c r="K284" s="445"/>
      <c r="L284" s="445"/>
      <c r="M284" s="570" t="s">
        <v>407</v>
      </c>
      <c r="N284" s="468"/>
    </row>
    <row r="285" spans="1:14" outlineLevel="1">
      <c r="B285" s="464"/>
      <c r="C285" s="465"/>
      <c r="D285" s="466"/>
      <c r="E285" s="466"/>
      <c r="F285" s="466"/>
      <c r="G285" s="466"/>
      <c r="H285" s="466"/>
      <c r="I285" s="467"/>
      <c r="J285" s="467"/>
      <c r="K285" s="467"/>
      <c r="L285" s="467"/>
      <c r="M285" s="467"/>
      <c r="N285" s="467"/>
    </row>
    <row r="286" spans="1:14">
      <c r="B286" s="446"/>
      <c r="C286" s="441"/>
      <c r="D286" s="444"/>
      <c r="E286" s="444"/>
      <c r="F286" s="444"/>
      <c r="G286" s="444"/>
      <c r="H286" s="444"/>
      <c r="I286" s="445"/>
      <c r="J286" s="445"/>
      <c r="K286" s="445"/>
      <c r="L286" s="445"/>
      <c r="M286" s="445"/>
      <c r="N286" s="445"/>
    </row>
    <row r="287" spans="1:14">
      <c r="A287" s="122" t="s">
        <v>26</v>
      </c>
      <c r="B287" s="364" t="s">
        <v>408</v>
      </c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</row>
    <row r="288" spans="1:14" outlineLevel="1">
      <c r="B288" s="440"/>
      <c r="C288" s="441"/>
      <c r="D288" s="442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</row>
    <row r="289" spans="2:14" outlineLevel="1">
      <c r="B289" s="369" t="str">
        <f>Input!$B$8</f>
        <v>All figures in CHF millions unless stated</v>
      </c>
      <c r="C289" s="441"/>
      <c r="D289" s="442"/>
      <c r="E289" s="442"/>
      <c r="F289" s="443"/>
      <c r="G289" s="443"/>
      <c r="H289" s="443"/>
      <c r="I289" s="443"/>
      <c r="J289" s="443"/>
      <c r="K289" s="443"/>
      <c r="L289" s="443"/>
      <c r="M289" s="443"/>
      <c r="N289" s="443"/>
    </row>
    <row r="290" spans="2:14" outlineLevel="1">
      <c r="B290" s="369" t="str">
        <f>CONCATENATE("Model Running: ",INDEX(Input!$B$12:$B$14,Input!$D$6)," Drivers")</f>
        <v>Model Running: Base Case Drivers</v>
      </c>
      <c r="C290" s="468"/>
      <c r="D290" s="468"/>
      <c r="E290" s="442"/>
      <c r="F290" s="443"/>
      <c r="G290" s="443"/>
      <c r="H290" s="506" t="s">
        <v>204</v>
      </c>
      <c r="I290" s="507" t="s">
        <v>381</v>
      </c>
      <c r="J290" s="508"/>
      <c r="K290" s="508"/>
      <c r="L290" s="508"/>
      <c r="M290" s="508"/>
      <c r="N290" s="506" t="s">
        <v>53</v>
      </c>
    </row>
    <row r="291" spans="2:14" outlineLevel="1">
      <c r="B291" s="468"/>
      <c r="C291" s="468"/>
      <c r="D291" s="468"/>
      <c r="E291" s="444"/>
      <c r="F291" s="468"/>
      <c r="G291" s="468"/>
      <c r="H291" s="509" t="s">
        <v>193</v>
      </c>
      <c r="I291" s="510" t="s">
        <v>193</v>
      </c>
      <c r="J291" s="510" t="s">
        <v>193</v>
      </c>
      <c r="K291" s="510" t="s">
        <v>193</v>
      </c>
      <c r="L291" s="510" t="s">
        <v>193</v>
      </c>
      <c r="M291" s="511" t="s">
        <v>193</v>
      </c>
      <c r="N291" s="512" t="s">
        <v>193</v>
      </c>
    </row>
    <row r="292" spans="2:14" outlineLevel="1">
      <c r="C292" s="513" t="s">
        <v>52</v>
      </c>
      <c r="D292" s="571">
        <f>Output!$O$57</f>
        <v>13.5</v>
      </c>
      <c r="E292" s="444"/>
      <c r="F292" s="515" t="s">
        <v>383</v>
      </c>
      <c r="G292" s="468"/>
      <c r="H292" s="516">
        <f>Input!F$196</f>
        <v>46203</v>
      </c>
      <c r="I292" s="517">
        <f>Input!$F$198</f>
        <v>46387</v>
      </c>
      <c r="J292" s="517">
        <f>EDATE(I292,12)</f>
        <v>46752</v>
      </c>
      <c r="K292" s="517">
        <f>EDATE(J292,12)</f>
        <v>47118</v>
      </c>
      <c r="L292" s="517">
        <f>EDATE(K292,12)</f>
        <v>47483</v>
      </c>
      <c r="M292" s="518">
        <f>EDATE(L292,12)</f>
        <v>47848</v>
      </c>
      <c r="N292" s="518">
        <f>EDATE(M292,12)</f>
        <v>48213</v>
      </c>
    </row>
    <row r="293" spans="2:14" ht="17.399999999999999" customHeight="1" outlineLevel="1" thickBot="1">
      <c r="C293" s="519" t="s">
        <v>39</v>
      </c>
      <c r="D293" s="520">
        <f>Output!$O$58</f>
        <v>5.0865748886442602E-2</v>
      </c>
      <c r="E293" s="444"/>
      <c r="F293" s="515" t="s">
        <v>384</v>
      </c>
      <c r="G293" s="468"/>
      <c r="H293" s="521">
        <f>H292</f>
        <v>46203</v>
      </c>
      <c r="I293" s="522">
        <f>Input!$F$197</f>
        <v>46295</v>
      </c>
      <c r="J293" s="522">
        <f>EDATE(J292,-6)</f>
        <v>46568</v>
      </c>
      <c r="K293" s="522">
        <f>EDATE(K292,-6)</f>
        <v>46934</v>
      </c>
      <c r="L293" s="522">
        <f>EDATE(L292,-6)</f>
        <v>47299</v>
      </c>
      <c r="M293" s="523">
        <f>EDATE(M292,-6)</f>
        <v>47664</v>
      </c>
      <c r="N293" s="523">
        <f>EDATE(N292,-6)</f>
        <v>48029</v>
      </c>
    </row>
    <row r="294" spans="2:14" outlineLevel="1">
      <c r="B294" s="440"/>
      <c r="C294" s="441"/>
      <c r="D294" s="442"/>
      <c r="E294" s="442"/>
      <c r="F294" s="443"/>
      <c r="G294" s="443"/>
      <c r="H294" s="443"/>
      <c r="I294" s="443"/>
      <c r="J294" s="443"/>
      <c r="K294" s="443"/>
      <c r="L294" s="443"/>
      <c r="M294" s="443"/>
      <c r="N294" s="443"/>
    </row>
    <row r="295" spans="2:14" outlineLevel="1">
      <c r="B295" s="572" t="s">
        <v>366</v>
      </c>
      <c r="C295" s="573"/>
      <c r="D295" s="574"/>
      <c r="E295" s="574"/>
      <c r="F295" s="452"/>
      <c r="G295" s="452"/>
      <c r="H295" s="575"/>
      <c r="I295" s="460">
        <f t="shared" ref="I295:N295" si="53">I$223</f>
        <v>9344.7745204139883</v>
      </c>
      <c r="J295" s="460">
        <f t="shared" si="53"/>
        <v>9823.7033066006006</v>
      </c>
      <c r="K295" s="460">
        <f t="shared" si="53"/>
        <v>9829.7765648632048</v>
      </c>
      <c r="L295" s="460">
        <f t="shared" si="53"/>
        <v>10075.186707577845</v>
      </c>
      <c r="M295" s="460">
        <f t="shared" si="53"/>
        <v>10230.585141357014</v>
      </c>
      <c r="N295" s="454">
        <f t="shared" si="53"/>
        <v>10106.454142858116</v>
      </c>
    </row>
    <row r="296" spans="2:14" outlineLevel="1">
      <c r="B296" s="572" t="s">
        <v>409</v>
      </c>
      <c r="C296" s="573"/>
      <c r="D296" s="574"/>
      <c r="E296" s="574"/>
      <c r="F296" s="452"/>
      <c r="G296" s="452"/>
      <c r="H296" s="576"/>
      <c r="I296" s="577"/>
      <c r="J296" s="577"/>
      <c r="K296" s="577"/>
      <c r="L296" s="577"/>
      <c r="M296" s="578"/>
      <c r="N296" s="579">
        <f>N208</f>
        <v>17961.621643581948</v>
      </c>
    </row>
    <row r="297" spans="2:14" outlineLevel="1"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</row>
    <row r="298" spans="2:14" outlineLevel="1">
      <c r="B298" s="447" t="s">
        <v>385</v>
      </c>
      <c r="C298" s="468"/>
      <c r="D298" s="468"/>
      <c r="E298" s="444"/>
    </row>
    <row r="299" spans="2:14" outlineLevel="1">
      <c r="B299" s="449" t="s">
        <v>381</v>
      </c>
      <c r="C299" s="468"/>
      <c r="D299" s="528"/>
      <c r="E299" s="444"/>
      <c r="F299" s="580" t="s">
        <v>410</v>
      </c>
      <c r="G299" s="452"/>
      <c r="H299" s="529">
        <v>0</v>
      </c>
      <c r="I299" s="530">
        <f t="shared" ref="I299:N299" si="54">I295</f>
        <v>9344.7745204139883</v>
      </c>
      <c r="J299" s="530">
        <f t="shared" si="54"/>
        <v>9823.7033066006006</v>
      </c>
      <c r="K299" s="530">
        <f t="shared" si="54"/>
        <v>9829.7765648632048</v>
      </c>
      <c r="L299" s="530">
        <f t="shared" si="54"/>
        <v>10075.186707577845</v>
      </c>
      <c r="M299" s="530">
        <f t="shared" si="54"/>
        <v>10230.585141357014</v>
      </c>
      <c r="N299" s="530">
        <f t="shared" si="54"/>
        <v>10106.454142858116</v>
      </c>
    </row>
    <row r="300" spans="2:14" outlineLevel="1">
      <c r="B300" s="449" t="s">
        <v>411</v>
      </c>
      <c r="C300" s="468"/>
      <c r="D300" s="444"/>
      <c r="E300" s="444"/>
      <c r="F300" s="581" t="s">
        <v>412</v>
      </c>
      <c r="G300" s="452"/>
      <c r="H300" s="532">
        <v>0</v>
      </c>
      <c r="I300" s="532">
        <v>0</v>
      </c>
      <c r="J300" s="532">
        <v>0</v>
      </c>
      <c r="K300" s="532">
        <v>0</v>
      </c>
      <c r="L300" s="532">
        <v>0</v>
      </c>
      <c r="M300" s="532">
        <v>0</v>
      </c>
      <c r="N300" s="533">
        <f>(N296*D292)/(1+D293)^F301</f>
        <v>236540.59981538253</v>
      </c>
    </row>
    <row r="301" spans="2:14" outlineLevel="1">
      <c r="B301" s="449" t="s">
        <v>387</v>
      </c>
      <c r="C301" s="468"/>
      <c r="D301" s="534"/>
      <c r="E301" s="534"/>
      <c r="F301" s="582">
        <f>YEARFRAC(N293,N292)</f>
        <v>0.5</v>
      </c>
      <c r="G301" s="452"/>
      <c r="H301" s="530">
        <f t="shared" ref="H301:N301" si="55">SUM(H299:H300)</f>
        <v>0</v>
      </c>
      <c r="I301" s="530">
        <f t="shared" si="55"/>
        <v>9344.7745204139883</v>
      </c>
      <c r="J301" s="530">
        <f t="shared" si="55"/>
        <v>9823.7033066006006</v>
      </c>
      <c r="K301" s="530">
        <f t="shared" si="55"/>
        <v>9829.7765648632048</v>
      </c>
      <c r="L301" s="530">
        <f t="shared" si="55"/>
        <v>10075.186707577845</v>
      </c>
      <c r="M301" s="530">
        <f t="shared" si="55"/>
        <v>10230.585141357014</v>
      </c>
      <c r="N301" s="530">
        <f t="shared" si="55"/>
        <v>246647.05395824066</v>
      </c>
    </row>
    <row r="302" spans="2:14" outlineLevel="1">
      <c r="B302" s="447"/>
      <c r="C302" s="468"/>
      <c r="D302" s="444"/>
      <c r="E302" s="444"/>
      <c r="F302" s="462"/>
      <c r="G302" s="462"/>
      <c r="H302" s="462"/>
      <c r="I302" s="462"/>
      <c r="J302" s="462"/>
      <c r="K302" s="462"/>
      <c r="L302" s="462"/>
    </row>
    <row r="303" spans="2:14" outlineLevel="1">
      <c r="B303" s="447" t="s">
        <v>388</v>
      </c>
      <c r="C303" s="468"/>
      <c r="D303" s="444"/>
      <c r="E303" s="444"/>
      <c r="F303" s="462"/>
      <c r="G303" s="462"/>
      <c r="H303" s="529"/>
      <c r="I303" s="535"/>
      <c r="J303" s="535"/>
      <c r="K303" s="535"/>
      <c r="L303" s="535"/>
      <c r="M303" s="535"/>
      <c r="N303" s="535"/>
    </row>
    <row r="304" spans="2:14" outlineLevel="1">
      <c r="B304" s="449" t="s">
        <v>389</v>
      </c>
      <c r="C304" s="468"/>
      <c r="D304" s="444"/>
      <c r="E304" s="444"/>
      <c r="F304" s="462"/>
      <c r="G304" s="462"/>
      <c r="H304" s="529">
        <v>0</v>
      </c>
      <c r="I304" s="535">
        <f t="shared" ref="I304:N304" si="56">YEARFRAC(I292,H292)</f>
        <v>0.5</v>
      </c>
      <c r="J304" s="535">
        <f t="shared" si="56"/>
        <v>1</v>
      </c>
      <c r="K304" s="535">
        <f t="shared" si="56"/>
        <v>1</v>
      </c>
      <c r="L304" s="535">
        <f t="shared" si="56"/>
        <v>1</v>
      </c>
      <c r="M304" s="535">
        <f t="shared" si="56"/>
        <v>1</v>
      </c>
      <c r="N304" s="535">
        <f t="shared" si="56"/>
        <v>1</v>
      </c>
    </row>
    <row r="305" spans="2:14" outlineLevel="1">
      <c r="B305" s="449"/>
      <c r="C305" s="468"/>
      <c r="D305" s="444"/>
      <c r="E305" s="444"/>
      <c r="F305" s="462"/>
      <c r="G305" s="462"/>
      <c r="H305" s="529"/>
      <c r="I305" s="535"/>
      <c r="J305" s="535"/>
      <c r="K305" s="535"/>
      <c r="L305" s="535"/>
      <c r="M305" s="535"/>
      <c r="N305" s="535"/>
    </row>
    <row r="306" spans="2:14" outlineLevel="1">
      <c r="B306" s="527" t="s">
        <v>381</v>
      </c>
      <c r="C306" s="468"/>
      <c r="D306" s="444"/>
      <c r="E306" s="444"/>
      <c r="F306" s="462"/>
      <c r="G306" s="462"/>
      <c r="H306" s="529">
        <v>0</v>
      </c>
      <c r="I306" s="530">
        <f t="shared" ref="I306:N306" si="57">I304*I$299</f>
        <v>4672.3872602069941</v>
      </c>
      <c r="J306" s="530">
        <f t="shared" si="57"/>
        <v>9823.7033066006006</v>
      </c>
      <c r="K306" s="530">
        <f t="shared" si="57"/>
        <v>9829.7765648632048</v>
      </c>
      <c r="L306" s="530">
        <f t="shared" si="57"/>
        <v>10075.186707577845</v>
      </c>
      <c r="M306" s="530">
        <f t="shared" si="57"/>
        <v>10230.585141357014</v>
      </c>
      <c r="N306" s="530">
        <f t="shared" si="57"/>
        <v>10106.454142858116</v>
      </c>
    </row>
    <row r="307" spans="2:14" outlineLevel="1">
      <c r="B307" s="527" t="s">
        <v>386</v>
      </c>
      <c r="C307" s="468"/>
      <c r="D307" s="444"/>
      <c r="E307" s="444"/>
      <c r="F307" s="462"/>
      <c r="G307" s="462"/>
      <c r="H307" s="532">
        <v>0</v>
      </c>
      <c r="I307" s="533">
        <f>I305*I$299</f>
        <v>0</v>
      </c>
      <c r="J307" s="533">
        <f>J305*J$299</f>
        <v>0</v>
      </c>
      <c r="K307" s="533">
        <f>K305*K$299</f>
        <v>0</v>
      </c>
      <c r="L307" s="533">
        <f>L305*L$299</f>
        <v>0</v>
      </c>
      <c r="M307" s="533">
        <f>M305*M$299</f>
        <v>0</v>
      </c>
      <c r="N307" s="533">
        <f>N304*N300</f>
        <v>236540.59981538253</v>
      </c>
    </row>
    <row r="308" spans="2:14" outlineLevel="1">
      <c r="B308" s="527" t="s">
        <v>387</v>
      </c>
      <c r="C308" s="468"/>
      <c r="D308" s="444"/>
      <c r="E308" s="444"/>
      <c r="F308" s="462"/>
      <c r="G308" s="462"/>
      <c r="H308" s="530">
        <f t="shared" ref="H308:N308" si="58">SUM(H306:H307)</f>
        <v>0</v>
      </c>
      <c r="I308" s="530">
        <f t="shared" si="58"/>
        <v>4672.3872602069941</v>
      </c>
      <c r="J308" s="530">
        <f t="shared" si="58"/>
        <v>9823.7033066006006</v>
      </c>
      <c r="K308" s="530">
        <f t="shared" si="58"/>
        <v>9829.7765648632048</v>
      </c>
      <c r="L308" s="530">
        <f t="shared" si="58"/>
        <v>10075.186707577845</v>
      </c>
      <c r="M308" s="530">
        <f t="shared" si="58"/>
        <v>10230.585141357014</v>
      </c>
      <c r="N308" s="530">
        <f t="shared" si="58"/>
        <v>246647.05395824066</v>
      </c>
    </row>
    <row r="309" spans="2:14" outlineLevel="1">
      <c r="B309" s="449"/>
      <c r="C309" s="468"/>
      <c r="D309" s="444"/>
      <c r="E309" s="444"/>
      <c r="F309" s="462"/>
      <c r="G309" s="462"/>
      <c r="H309" s="529"/>
      <c r="I309" s="535"/>
      <c r="J309" s="535"/>
      <c r="K309" s="535"/>
      <c r="L309" s="535"/>
      <c r="M309" s="535"/>
      <c r="N309" s="535"/>
    </row>
    <row r="310" spans="2:14" outlineLevel="1">
      <c r="B310" s="447" t="s">
        <v>390</v>
      </c>
      <c r="C310" s="468"/>
      <c r="D310" s="444"/>
      <c r="E310" s="444"/>
      <c r="F310" s="462"/>
      <c r="G310" s="462"/>
      <c r="H310" s="529"/>
      <c r="I310" s="535"/>
      <c r="J310" s="535"/>
      <c r="K310" s="535"/>
      <c r="L310" s="535"/>
      <c r="M310" s="535"/>
      <c r="N310" s="535"/>
    </row>
    <row r="311" spans="2:14" outlineLevel="1">
      <c r="B311" s="449" t="s">
        <v>391</v>
      </c>
      <c r="C311" s="468"/>
      <c r="D311" s="444"/>
      <c r="E311" s="444"/>
      <c r="F311" s="462"/>
      <c r="G311" s="462"/>
      <c r="H311" s="536">
        <v>0</v>
      </c>
      <c r="I311" s="537">
        <f t="shared" ref="I311:N311" si="59">H311+YEARFRAC(H293,I293)</f>
        <v>0.25</v>
      </c>
      <c r="J311" s="537">
        <f t="shared" si="59"/>
        <v>1</v>
      </c>
      <c r="K311" s="537">
        <f t="shared" si="59"/>
        <v>2</v>
      </c>
      <c r="L311" s="537">
        <f t="shared" si="59"/>
        <v>3</v>
      </c>
      <c r="M311" s="537">
        <f t="shared" si="59"/>
        <v>4</v>
      </c>
      <c r="N311" s="537">
        <f t="shared" si="59"/>
        <v>5</v>
      </c>
    </row>
    <row r="312" spans="2:14" outlineLevel="1">
      <c r="B312" s="449"/>
      <c r="C312" s="468"/>
      <c r="D312" s="444"/>
      <c r="E312" s="444"/>
      <c r="F312" s="462"/>
      <c r="G312" s="462"/>
      <c r="H312" s="536"/>
      <c r="I312" s="537"/>
      <c r="J312" s="537"/>
      <c r="K312" s="537"/>
      <c r="L312" s="537"/>
      <c r="M312" s="537"/>
      <c r="N312" s="537"/>
    </row>
    <row r="313" spans="2:14" outlineLevel="1">
      <c r="B313" s="527" t="s">
        <v>381</v>
      </c>
      <c r="C313" s="468"/>
      <c r="D313" s="444"/>
      <c r="E313" s="444"/>
      <c r="F313" s="462"/>
      <c r="G313" s="462"/>
      <c r="H313" s="538">
        <v>0</v>
      </c>
      <c r="I313" s="453">
        <f t="shared" ref="I313:N314" si="60">I306/(1+$D$293)^I$311</f>
        <v>4614.7908388110727</v>
      </c>
      <c r="J313" s="453">
        <f t="shared" si="60"/>
        <v>9348.2001073975043</v>
      </c>
      <c r="K313" s="453">
        <f t="shared" si="60"/>
        <v>8901.2125551159679</v>
      </c>
      <c r="L313" s="453">
        <f t="shared" si="60"/>
        <v>8681.8322740128606</v>
      </c>
      <c r="M313" s="453">
        <f t="shared" si="60"/>
        <v>8389.0257063440804</v>
      </c>
      <c r="N313" s="453">
        <f t="shared" si="60"/>
        <v>7886.1062441948579</v>
      </c>
    </row>
    <row r="314" spans="2:14" outlineLevel="1">
      <c r="B314" s="527" t="s">
        <v>386</v>
      </c>
      <c r="C314" s="468"/>
      <c r="D314" s="444"/>
      <c r="E314" s="444"/>
      <c r="F314" s="462"/>
      <c r="G314" s="462"/>
      <c r="H314" s="578">
        <v>0</v>
      </c>
      <c r="I314" s="577">
        <f t="shared" si="60"/>
        <v>0</v>
      </c>
      <c r="J314" s="577">
        <f t="shared" si="60"/>
        <v>0</v>
      </c>
      <c r="K314" s="577">
        <f t="shared" si="60"/>
        <v>0</v>
      </c>
      <c r="L314" s="577">
        <f t="shared" si="60"/>
        <v>0</v>
      </c>
      <c r="M314" s="577">
        <f t="shared" si="60"/>
        <v>0</v>
      </c>
      <c r="N314" s="577">
        <f t="shared" si="60"/>
        <v>184573.56802315166</v>
      </c>
    </row>
    <row r="315" spans="2:14" outlineLevel="1">
      <c r="B315" s="527" t="s">
        <v>387</v>
      </c>
      <c r="C315" s="468"/>
      <c r="D315" s="444"/>
      <c r="E315" s="444"/>
      <c r="F315" s="462"/>
      <c r="G315" s="462"/>
      <c r="H315" s="530">
        <f t="shared" ref="H315:N315" si="61">SUM(H313:H314)</f>
        <v>0</v>
      </c>
      <c r="I315" s="530">
        <f t="shared" si="61"/>
        <v>4614.7908388110727</v>
      </c>
      <c r="J315" s="530">
        <f t="shared" si="61"/>
        <v>9348.2001073975043</v>
      </c>
      <c r="K315" s="530">
        <f t="shared" si="61"/>
        <v>8901.2125551159679</v>
      </c>
      <c r="L315" s="530">
        <f t="shared" si="61"/>
        <v>8681.8322740128606</v>
      </c>
      <c r="M315" s="530">
        <f t="shared" si="61"/>
        <v>8389.0257063440804</v>
      </c>
      <c r="N315" s="530">
        <f t="shared" si="61"/>
        <v>192459.67426734651</v>
      </c>
    </row>
    <row r="316" spans="2:14" outlineLevel="1">
      <c r="B316" s="527"/>
      <c r="C316" s="468"/>
      <c r="D316" s="444"/>
      <c r="E316" s="444"/>
      <c r="F316" s="462"/>
      <c r="G316" s="462"/>
      <c r="H316" s="529"/>
      <c r="I316" s="535"/>
      <c r="J316" s="535"/>
      <c r="K316" s="535"/>
      <c r="L316" s="535"/>
      <c r="M316" s="535"/>
      <c r="N316" s="535"/>
    </row>
    <row r="317" spans="2:14" outlineLevel="1">
      <c r="B317" s="449"/>
      <c r="C317" s="468"/>
      <c r="D317" s="534"/>
      <c r="E317" s="534"/>
      <c r="F317" s="452"/>
      <c r="G317" s="452"/>
      <c r="H317" s="530"/>
      <c r="I317" s="530"/>
      <c r="J317" s="530"/>
      <c r="K317" s="530"/>
      <c r="L317" s="530"/>
      <c r="M317" s="530"/>
      <c r="N317" s="530"/>
    </row>
    <row r="318" spans="2:14" outlineLevel="1">
      <c r="B318" s="447"/>
      <c r="C318" s="468"/>
      <c r="D318" s="444"/>
      <c r="E318" s="583" t="s">
        <v>392</v>
      </c>
      <c r="G318" s="584"/>
      <c r="H318" s="585"/>
      <c r="I318" s="586"/>
      <c r="J318" s="587" t="s">
        <v>392</v>
      </c>
      <c r="K318" s="563"/>
      <c r="L318" s="552"/>
      <c r="M318" s="552"/>
      <c r="N318" s="452"/>
    </row>
    <row r="319" spans="2:14" outlineLevel="1">
      <c r="B319" s="449"/>
      <c r="C319" s="468"/>
      <c r="D319" s="444"/>
      <c r="E319" s="588" t="s">
        <v>393</v>
      </c>
      <c r="F319" s="560"/>
      <c r="G319" s="547">
        <f>SUM(I315:N315)</f>
        <v>232394.73574902798</v>
      </c>
      <c r="I319" s="569"/>
      <c r="J319" s="544" t="s">
        <v>394</v>
      </c>
      <c r="K319" s="545"/>
      <c r="L319" s="546">
        <f>M319/$M$321</f>
        <v>0.20577560662785521</v>
      </c>
      <c r="M319" s="547">
        <f>SUM(I313:N313)</f>
        <v>47821.167725876352</v>
      </c>
      <c r="N319" s="453"/>
    </row>
    <row r="320" spans="2:14" outlineLevel="1">
      <c r="B320" s="449"/>
      <c r="D320" s="534"/>
      <c r="E320" s="589" t="s">
        <v>413</v>
      </c>
      <c r="F320" s="565"/>
      <c r="G320" s="566">
        <f>XNPV($D$293,H308:N308,H293:N293)</f>
        <v>232364.57595992961</v>
      </c>
      <c r="I320" s="569"/>
      <c r="J320" s="551" t="s">
        <v>396</v>
      </c>
      <c r="K320" s="552"/>
      <c r="L320" s="553">
        <f>M320/$M$321</f>
        <v>0.79422439337214479</v>
      </c>
      <c r="M320" s="554">
        <f>SUM(I314:N314)</f>
        <v>184573.56802315166</v>
      </c>
      <c r="N320" s="453"/>
    </row>
    <row r="321" spans="1:14" outlineLevel="1">
      <c r="E321" s="373"/>
      <c r="G321" s="373"/>
      <c r="I321" s="373"/>
      <c r="J321" s="551" t="s">
        <v>397</v>
      </c>
      <c r="K321" s="552"/>
      <c r="L321" s="555">
        <f>M321/$M$321</f>
        <v>1</v>
      </c>
      <c r="M321" s="556">
        <f>SUM(M319:M320)</f>
        <v>232394.73574902801</v>
      </c>
    </row>
    <row r="322" spans="1:14" outlineLevel="1">
      <c r="E322" s="373"/>
      <c r="G322" s="373"/>
      <c r="I322" s="373"/>
      <c r="J322" s="557" t="s">
        <v>414</v>
      </c>
      <c r="K322" s="381"/>
      <c r="L322" s="381"/>
      <c r="M322" s="564">
        <f>(N296*$D$292*$D$293-N295)/(N296*$D$292+N295)</f>
        <v>8.818969390548579E-3</v>
      </c>
    </row>
    <row r="323" spans="1:14" outlineLevel="1">
      <c r="E323" s="373"/>
      <c r="G323" s="373"/>
      <c r="I323" s="373"/>
      <c r="J323" s="373"/>
      <c r="K323" s="373"/>
      <c r="L323" s="373"/>
      <c r="M323" s="373"/>
    </row>
    <row r="324" spans="1:14" outlineLevel="1">
      <c r="E324" s="583" t="s">
        <v>399</v>
      </c>
      <c r="G324" s="373"/>
      <c r="I324" s="373"/>
      <c r="J324" s="583" t="s">
        <v>400</v>
      </c>
      <c r="K324" s="586"/>
      <c r="L324" s="373"/>
      <c r="M324" s="373"/>
    </row>
    <row r="325" spans="1:14" outlineLevel="1">
      <c r="E325" s="544" t="s">
        <v>397</v>
      </c>
      <c r="F325" s="560"/>
      <c r="G325" s="547">
        <f>G320</f>
        <v>232364.57595992961</v>
      </c>
      <c r="I325" s="373"/>
      <c r="J325" s="544" t="s">
        <v>48</v>
      </c>
      <c r="K325" s="590"/>
      <c r="L325" s="545"/>
      <c r="M325" s="547">
        <f>G330</f>
        <v>211978.09585992963</v>
      </c>
    </row>
    <row r="326" spans="1:14" outlineLevel="1">
      <c r="E326" s="551" t="s">
        <v>401</v>
      </c>
      <c r="G326" s="556">
        <f>-Input!$N$196</f>
        <v>-56344</v>
      </c>
      <c r="I326" s="373"/>
      <c r="J326" s="551" t="s">
        <v>42</v>
      </c>
      <c r="K326" s="373"/>
      <c r="L326" s="561" t="s">
        <v>43</v>
      </c>
      <c r="M326" s="556">
        <f>Input!$F$207</f>
        <v>2573</v>
      </c>
    </row>
    <row r="327" spans="1:14" outlineLevel="1">
      <c r="E327" s="551" t="s">
        <v>402</v>
      </c>
      <c r="G327" s="556">
        <f>-Input!$N$197</f>
        <v>-248</v>
      </c>
      <c r="I327" s="373"/>
      <c r="J327" s="551" t="s">
        <v>48</v>
      </c>
      <c r="K327" s="373"/>
      <c r="L327" s="561" t="s">
        <v>45</v>
      </c>
      <c r="M327" s="562">
        <f>M325/M326</f>
        <v>82.385579424768608</v>
      </c>
    </row>
    <row r="328" spans="1:14" outlineLevel="1">
      <c r="C328" s="452"/>
      <c r="E328" s="551" t="s">
        <v>403</v>
      </c>
      <c r="G328" s="556">
        <f>Input!$N$198</f>
        <v>37092.519899999999</v>
      </c>
      <c r="I328" s="373"/>
      <c r="J328" s="551" t="s">
        <v>404</v>
      </c>
      <c r="K328" s="373"/>
      <c r="L328" s="563" t="s">
        <v>45</v>
      </c>
      <c r="M328" s="562">
        <f>Input!$F$208</f>
        <v>74.63</v>
      </c>
    </row>
    <row r="329" spans="1:14" outlineLevel="1">
      <c r="C329" s="452"/>
      <c r="E329" s="551" t="s">
        <v>405</v>
      </c>
      <c r="G329" s="556">
        <f>-Input!$N$199</f>
        <v>-887</v>
      </c>
      <c r="I329" s="591"/>
      <c r="J329" s="557" t="s">
        <v>406</v>
      </c>
      <c r="K329" s="592"/>
      <c r="L329" s="558"/>
      <c r="M329" s="564">
        <f>M327/M328-1</f>
        <v>0.10392039963511479</v>
      </c>
    </row>
    <row r="330" spans="1:14" outlineLevel="1">
      <c r="C330" s="452"/>
      <c r="E330" s="557" t="s">
        <v>48</v>
      </c>
      <c r="F330" s="565"/>
      <c r="G330" s="566">
        <f>SUM(G325:G329)</f>
        <v>211978.09585992963</v>
      </c>
      <c r="I330" s="591"/>
      <c r="J330" s="591"/>
      <c r="K330" s="591"/>
      <c r="L330" s="591"/>
      <c r="M330" s="593"/>
    </row>
    <row r="331" spans="1:14" outlineLevel="1">
      <c r="C331" s="452"/>
    </row>
    <row r="332" spans="1:14" outlineLevel="1">
      <c r="B332" s="468"/>
      <c r="C332" s="441"/>
      <c r="D332" s="444"/>
      <c r="E332" s="444"/>
      <c r="F332" s="444"/>
      <c r="G332" s="444"/>
      <c r="H332" s="444"/>
      <c r="I332" s="445"/>
      <c r="J332" s="445"/>
      <c r="K332" s="445"/>
      <c r="L332" s="445"/>
      <c r="M332" s="594" t="s">
        <v>415</v>
      </c>
      <c r="N332" s="468"/>
    </row>
    <row r="333" spans="1:14" outlineLevel="1">
      <c r="B333" s="468"/>
      <c r="C333" s="441"/>
      <c r="D333" s="444"/>
      <c r="E333" s="444"/>
      <c r="F333" s="444"/>
      <c r="G333" s="444"/>
      <c r="H333" s="444"/>
      <c r="I333" s="445"/>
      <c r="J333" s="445"/>
      <c r="K333" s="445"/>
      <c r="L333" s="445"/>
      <c r="M333" s="595" t="s">
        <v>416</v>
      </c>
      <c r="N333" s="468"/>
    </row>
    <row r="334" spans="1:14" outlineLevel="1">
      <c r="B334" s="464"/>
      <c r="C334" s="465"/>
      <c r="D334" s="466"/>
      <c r="E334" s="466"/>
      <c r="F334" s="466"/>
      <c r="G334" s="466"/>
      <c r="H334" s="466"/>
      <c r="I334" s="467"/>
      <c r="J334" s="467"/>
      <c r="K334" s="467"/>
      <c r="L334" s="467"/>
      <c r="M334" s="467"/>
      <c r="N334" s="467" t="s">
        <v>26</v>
      </c>
    </row>
    <row r="336" spans="1:14">
      <c r="A336" s="119" t="s">
        <v>26</v>
      </c>
      <c r="B336" s="364" t="s">
        <v>417</v>
      </c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</row>
    <row r="337" spans="1:14" outlineLevel="1">
      <c r="A337" s="119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</row>
    <row r="338" spans="1:14" ht="17.399999999999999" customHeight="1" outlineLevel="1" thickBot="1">
      <c r="A338" s="118"/>
      <c r="B338" s="369" t="str">
        <f>Input!$B$8</f>
        <v>All figures in CHF millions unless stated</v>
      </c>
      <c r="C338" s="368"/>
      <c r="D338" s="368"/>
      <c r="E338" s="368"/>
      <c r="F338" s="370">
        <f t="shared" ref="F338:M338" si="62">F$2</f>
        <v>2023</v>
      </c>
      <c r="G338" s="370">
        <f t="shared" si="62"/>
        <v>2024</v>
      </c>
      <c r="H338" s="370">
        <f t="shared" si="62"/>
        <v>2025</v>
      </c>
      <c r="I338" s="371">
        <f t="shared" si="62"/>
        <v>2026</v>
      </c>
      <c r="J338" s="371">
        <f t="shared" si="62"/>
        <v>2027</v>
      </c>
      <c r="K338" s="371">
        <f t="shared" si="62"/>
        <v>2028</v>
      </c>
      <c r="L338" s="371">
        <f t="shared" si="62"/>
        <v>2029</v>
      </c>
      <c r="M338" s="371">
        <f t="shared" si="62"/>
        <v>2030</v>
      </c>
    </row>
    <row r="339" spans="1:14" ht="17.399999999999999" customHeight="1" outlineLevel="1" thickTop="1">
      <c r="A339" s="118"/>
      <c r="B339" s="369" t="str">
        <f>CONCATENATE("Model Running: ",INDEX(Input!$B$12:$B$14,Input!$D$6)," Drivers")</f>
        <v>Model Running: Base Case Drivers</v>
      </c>
      <c r="C339" s="368"/>
      <c r="D339" s="368"/>
      <c r="E339" s="368"/>
      <c r="F339" s="368"/>
      <c r="G339" s="368"/>
      <c r="H339" s="368"/>
      <c r="I339" s="368"/>
      <c r="J339" s="368"/>
      <c r="K339" s="368"/>
      <c r="L339" s="368"/>
      <c r="M339" s="368"/>
    </row>
    <row r="340" spans="1:14" outlineLevel="1">
      <c r="A340" s="119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</row>
    <row r="341" spans="1:14" outlineLevel="1">
      <c r="A341" s="119"/>
      <c r="B341" s="373" t="s">
        <v>142</v>
      </c>
      <c r="C341" s="373"/>
      <c r="D341" s="373"/>
      <c r="E341" s="373"/>
      <c r="F341" s="373"/>
      <c r="G341" s="596">
        <f t="shared" ref="G341:M341" si="63">G32</f>
        <v>5.7992053789731102E-2</v>
      </c>
      <c r="H341" s="596">
        <f t="shared" si="63"/>
        <v>0.19223788915258999</v>
      </c>
      <c r="I341" s="596">
        <f t="shared" si="63"/>
        <v>6.5000000000000002E-2</v>
      </c>
      <c r="J341" s="596">
        <f t="shared" si="63"/>
        <v>0.06</v>
      </c>
      <c r="K341" s="596">
        <f t="shared" si="63"/>
        <v>0.06</v>
      </c>
      <c r="L341" s="596">
        <f t="shared" si="63"/>
        <v>0.06</v>
      </c>
      <c r="M341" s="596">
        <f t="shared" si="63"/>
        <v>0.06</v>
      </c>
    </row>
    <row r="342" spans="1:14" outlineLevel="1">
      <c r="A342" s="119"/>
      <c r="B342" s="373" t="s">
        <v>418</v>
      </c>
      <c r="C342" s="373"/>
      <c r="D342" s="373"/>
      <c r="E342" s="373"/>
      <c r="F342" s="418">
        <f t="shared" ref="F342:M342" si="64">F540</f>
        <v>13088</v>
      </c>
      <c r="G342" s="418">
        <f t="shared" si="64"/>
        <v>14326</v>
      </c>
      <c r="H342" s="418">
        <f t="shared" si="64"/>
        <v>12096</v>
      </c>
      <c r="I342" s="418">
        <f t="shared" si="64"/>
        <v>12487.050000000001</v>
      </c>
      <c r="J342" s="418">
        <f t="shared" si="64"/>
        <v>12962.208600000002</v>
      </c>
      <c r="K342" s="418">
        <f t="shared" si="64"/>
        <v>13457.832948000001</v>
      </c>
      <c r="L342" s="418">
        <f t="shared" si="64"/>
        <v>13987.387678320001</v>
      </c>
      <c r="M342" s="418">
        <f t="shared" si="64"/>
        <v>14552.020360180801</v>
      </c>
    </row>
    <row r="343" spans="1:14" outlineLevel="1">
      <c r="A343" s="119"/>
      <c r="B343" s="373" t="s">
        <v>419</v>
      </c>
      <c r="C343" s="373"/>
      <c r="D343" s="373"/>
      <c r="E343" s="373"/>
      <c r="F343" s="373"/>
      <c r="G343" s="418">
        <f t="shared" ref="G343:M343" si="65">G459</f>
        <v>1249</v>
      </c>
      <c r="H343" s="418">
        <f t="shared" si="65"/>
        <v>1143</v>
      </c>
      <c r="I343" s="418">
        <f t="shared" si="65"/>
        <v>1177.29</v>
      </c>
      <c r="J343" s="418">
        <f t="shared" si="65"/>
        <v>1224.3815999999999</v>
      </c>
      <c r="K343" s="418">
        <f t="shared" si="65"/>
        <v>1273.3568640000001</v>
      </c>
      <c r="L343" s="418">
        <f t="shared" si="65"/>
        <v>1337.0247072000002</v>
      </c>
      <c r="M343" s="418">
        <f t="shared" si="65"/>
        <v>1403.8759425600003</v>
      </c>
    </row>
    <row r="344" spans="1:14" outlineLevel="1">
      <c r="A344" s="119"/>
      <c r="B344" s="373" t="s">
        <v>420</v>
      </c>
      <c r="C344" s="373"/>
      <c r="D344" s="373"/>
      <c r="E344" s="373"/>
      <c r="F344" s="373"/>
      <c r="G344" s="597">
        <f>-G494</f>
        <v>532</v>
      </c>
      <c r="H344" s="597">
        <f>-H494</f>
        <v>-208</v>
      </c>
      <c r="I344" s="418">
        <f>I494</f>
        <v>0</v>
      </c>
      <c r="J344" s="418">
        <f>J494</f>
        <v>0</v>
      </c>
      <c r="K344" s="418">
        <f>K494</f>
        <v>0</v>
      </c>
      <c r="L344" s="418">
        <f>L494</f>
        <v>0</v>
      </c>
      <c r="M344" s="418">
        <f>M494</f>
        <v>0</v>
      </c>
    </row>
    <row r="345" spans="1:14" outlineLevel="1">
      <c r="A345" s="119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</row>
    <row r="346" spans="1:14" outlineLevel="1">
      <c r="A346" s="119"/>
      <c r="B346" s="374" t="s">
        <v>142</v>
      </c>
      <c r="C346" s="373"/>
      <c r="D346" s="373"/>
      <c r="E346" s="373"/>
      <c r="F346" s="400"/>
      <c r="G346" s="425">
        <f t="shared" ref="G346:M346" si="66">G341*F342</f>
        <v>759.00000000000068</v>
      </c>
      <c r="H346" s="426">
        <f t="shared" si="66"/>
        <v>2754.0000000000041</v>
      </c>
      <c r="I346" s="426">
        <f t="shared" si="66"/>
        <v>786.24</v>
      </c>
      <c r="J346" s="426">
        <f t="shared" si="66"/>
        <v>749.22300000000007</v>
      </c>
      <c r="K346" s="426">
        <f t="shared" si="66"/>
        <v>777.73251600000003</v>
      </c>
      <c r="L346" s="426">
        <f t="shared" si="66"/>
        <v>807.46997687999999</v>
      </c>
      <c r="M346" s="427">
        <f t="shared" si="66"/>
        <v>839.24326069920005</v>
      </c>
    </row>
    <row r="347" spans="1:14" outlineLevel="1">
      <c r="A347" s="119"/>
      <c r="B347" s="374" t="s">
        <v>421</v>
      </c>
      <c r="C347" s="373"/>
      <c r="D347" s="373"/>
      <c r="E347" s="373"/>
      <c r="F347" s="400"/>
      <c r="G347" s="391">
        <f t="shared" ref="G347:M347" si="67">F342+G343-G346+G344</f>
        <v>14110</v>
      </c>
      <c r="H347" s="392">
        <f t="shared" si="67"/>
        <v>12506.999999999996</v>
      </c>
      <c r="I347" s="392">
        <f t="shared" si="67"/>
        <v>12487.050000000001</v>
      </c>
      <c r="J347" s="392">
        <f t="shared" si="67"/>
        <v>12962.208600000002</v>
      </c>
      <c r="K347" s="392">
        <f t="shared" si="67"/>
        <v>13457.832948000001</v>
      </c>
      <c r="L347" s="392">
        <f t="shared" si="67"/>
        <v>13987.387678320001</v>
      </c>
      <c r="M347" s="393">
        <f t="shared" si="67"/>
        <v>14552.020360180801</v>
      </c>
    </row>
    <row r="348" spans="1:14" outlineLevel="1">
      <c r="A348" s="119"/>
      <c r="B348" s="398"/>
      <c r="C348" s="381"/>
      <c r="D348" s="381"/>
      <c r="E348" s="381"/>
      <c r="F348" s="399"/>
      <c r="G348" s="399"/>
      <c r="H348" s="399"/>
      <c r="I348" s="392"/>
      <c r="J348" s="392"/>
      <c r="K348" s="392"/>
      <c r="L348" s="392"/>
      <c r="M348" s="392"/>
    </row>
    <row r="349" spans="1:14">
      <c r="A349" s="119"/>
      <c r="B349" s="373"/>
      <c r="C349" s="373"/>
      <c r="D349" s="373"/>
      <c r="E349" s="373"/>
      <c r="F349" s="373"/>
      <c r="G349" s="418"/>
      <c r="H349" s="418"/>
      <c r="I349" s="418"/>
      <c r="J349" s="418"/>
      <c r="K349" s="418"/>
      <c r="L349" s="418"/>
      <c r="M349" s="418"/>
    </row>
    <row r="350" spans="1:14">
      <c r="A350" s="119" t="s">
        <v>26</v>
      </c>
      <c r="B350" s="364" t="s">
        <v>422</v>
      </c>
      <c r="C350" s="364"/>
      <c r="D350" s="364"/>
      <c r="E350" s="364"/>
      <c r="F350" s="364"/>
      <c r="G350" s="364"/>
      <c r="H350" s="364"/>
      <c r="I350" s="364"/>
      <c r="J350" s="364"/>
      <c r="K350" s="364"/>
      <c r="L350" s="364"/>
      <c r="M350" s="364"/>
      <c r="N350" s="364"/>
    </row>
    <row r="351" spans="1:14" outlineLevel="1">
      <c r="A351" s="119"/>
      <c r="B351" s="374"/>
      <c r="C351" s="373"/>
      <c r="D351" s="373"/>
      <c r="E351" s="373"/>
      <c r="F351" s="373"/>
      <c r="G351" s="375"/>
      <c r="H351" s="375"/>
      <c r="I351" s="433"/>
      <c r="J351" s="433"/>
      <c r="K351" s="433"/>
      <c r="L351" s="433"/>
      <c r="M351" s="433"/>
    </row>
    <row r="352" spans="1:14" ht="17.399999999999999" customHeight="1" outlineLevel="1" thickBot="1">
      <c r="A352" s="118"/>
      <c r="B352" s="369" t="str">
        <f>Input!$B$8</f>
        <v>All figures in CHF millions unless stated</v>
      </c>
      <c r="C352" s="368"/>
      <c r="D352" s="368"/>
      <c r="E352" s="368"/>
      <c r="F352" s="370">
        <f t="shared" ref="F352:M352" si="68">F$2</f>
        <v>2023</v>
      </c>
      <c r="G352" s="370">
        <f t="shared" si="68"/>
        <v>2024</v>
      </c>
      <c r="H352" s="370">
        <f t="shared" si="68"/>
        <v>2025</v>
      </c>
      <c r="I352" s="371">
        <f t="shared" si="68"/>
        <v>2026</v>
      </c>
      <c r="J352" s="371">
        <f t="shared" si="68"/>
        <v>2027</v>
      </c>
      <c r="K352" s="371">
        <f t="shared" si="68"/>
        <v>2028</v>
      </c>
      <c r="L352" s="371">
        <f t="shared" si="68"/>
        <v>2029</v>
      </c>
      <c r="M352" s="371">
        <f t="shared" si="68"/>
        <v>2030</v>
      </c>
    </row>
    <row r="353" spans="1:13" ht="17.399999999999999" customHeight="1" outlineLevel="1" thickTop="1">
      <c r="A353" s="118"/>
      <c r="B353" s="369" t="str">
        <f>CONCATENATE("Model Running: ",INDEX(Input!$B$12:$B$14,Input!$D$6)," Drivers")</f>
        <v>Model Running: Base Case Drivers</v>
      </c>
      <c r="C353" s="368"/>
      <c r="D353" s="368"/>
      <c r="E353" s="368"/>
      <c r="F353" s="368"/>
      <c r="G353" s="368"/>
      <c r="H353" s="368"/>
      <c r="I353" s="368"/>
      <c r="J353" s="368"/>
      <c r="K353" s="368"/>
      <c r="L353" s="368"/>
      <c r="M353" s="368"/>
    </row>
    <row r="354" spans="1:13" outlineLevel="1">
      <c r="A354" s="119"/>
      <c r="B354" s="374"/>
      <c r="C354" s="373"/>
      <c r="D354" s="373"/>
      <c r="E354" s="373"/>
      <c r="F354" s="373"/>
      <c r="G354" s="375"/>
      <c r="H354" s="375"/>
      <c r="I354" s="433"/>
      <c r="J354" s="433"/>
      <c r="K354" s="433"/>
      <c r="L354" s="433"/>
      <c r="M354" s="433"/>
    </row>
    <row r="355" spans="1:13" outlineLevel="1">
      <c r="A355" s="121"/>
      <c r="B355" s="433" t="s">
        <v>423</v>
      </c>
      <c r="C355" s="433"/>
      <c r="D355" s="433"/>
      <c r="E355" s="433"/>
      <c r="F355" s="433"/>
      <c r="G355" s="433"/>
      <c r="H355" s="433"/>
      <c r="I355" s="433"/>
      <c r="J355" s="433"/>
      <c r="K355" s="433"/>
      <c r="L355" s="433"/>
      <c r="M355" s="433"/>
    </row>
    <row r="356" spans="1:13" outlineLevel="1">
      <c r="A356" s="119"/>
      <c r="B356" s="374" t="s">
        <v>424</v>
      </c>
      <c r="C356" s="373"/>
      <c r="D356" s="373"/>
      <c r="E356" s="373"/>
      <c r="F356" s="400"/>
      <c r="G356" s="389">
        <f t="shared" ref="G356:M356" si="69">F526+F527</f>
        <v>5851</v>
      </c>
      <c r="H356" s="389">
        <f t="shared" si="69"/>
        <v>7871</v>
      </c>
      <c r="I356" s="389">
        <f t="shared" si="69"/>
        <v>6230</v>
      </c>
      <c r="J356" s="389">
        <f t="shared" si="69"/>
        <v>5861.2724180007335</v>
      </c>
      <c r="K356" s="389">
        <f t="shared" si="69"/>
        <v>6411.177207196064</v>
      </c>
      <c r="L356" s="389">
        <f t="shared" si="69"/>
        <v>7456.7479694913472</v>
      </c>
      <c r="M356" s="389">
        <f t="shared" si="69"/>
        <v>9219.1546290048173</v>
      </c>
    </row>
    <row r="357" spans="1:13" outlineLevel="1">
      <c r="A357" s="119"/>
      <c r="B357" s="374" t="s">
        <v>152</v>
      </c>
      <c r="C357" s="373"/>
      <c r="D357" s="373"/>
      <c r="E357" s="373"/>
      <c r="F357" s="400"/>
      <c r="G357" s="389">
        <f t="shared" ref="G357:M357" si="70">G358-G356</f>
        <v>2020</v>
      </c>
      <c r="H357" s="389">
        <f t="shared" si="70"/>
        <v>-1641</v>
      </c>
      <c r="I357" s="389">
        <f t="shared" si="70"/>
        <v>-368.72758199926648</v>
      </c>
      <c r="J357" s="389">
        <f t="shared" si="70"/>
        <v>549.90478919533052</v>
      </c>
      <c r="K357" s="389">
        <f t="shared" si="70"/>
        <v>1045.5707622952832</v>
      </c>
      <c r="L357" s="389">
        <f t="shared" si="70"/>
        <v>1762.40665951347</v>
      </c>
      <c r="M357" s="389">
        <f t="shared" si="70"/>
        <v>-163.78352495446961</v>
      </c>
    </row>
    <row r="358" spans="1:13" outlineLevel="1">
      <c r="A358" s="119"/>
      <c r="B358" s="374" t="s">
        <v>425</v>
      </c>
      <c r="C358" s="373"/>
      <c r="D358" s="373"/>
      <c r="E358" s="373"/>
      <c r="F358" s="400"/>
      <c r="G358" s="389">
        <f t="shared" ref="G358:M358" si="71">G526+G527</f>
        <v>7871</v>
      </c>
      <c r="H358" s="389">
        <f t="shared" si="71"/>
        <v>6230</v>
      </c>
      <c r="I358" s="389">
        <f t="shared" si="71"/>
        <v>5861.2724180007335</v>
      </c>
      <c r="J358" s="389">
        <f t="shared" si="71"/>
        <v>6411.177207196064</v>
      </c>
      <c r="K358" s="389">
        <f t="shared" si="71"/>
        <v>7456.7479694913472</v>
      </c>
      <c r="L358" s="389">
        <f t="shared" si="71"/>
        <v>9219.1546290048173</v>
      </c>
      <c r="M358" s="389">
        <f t="shared" si="71"/>
        <v>9055.3711040503476</v>
      </c>
    </row>
    <row r="359" spans="1:13" outlineLevel="1">
      <c r="A359" s="119"/>
      <c r="B359" s="598"/>
      <c r="C359" s="373"/>
      <c r="D359" s="599" t="s">
        <v>25</v>
      </c>
      <c r="E359" s="373"/>
      <c r="F359" s="373"/>
      <c r="G359" s="400"/>
      <c r="H359" s="373"/>
      <c r="I359" s="373"/>
      <c r="J359" s="373"/>
      <c r="K359" s="373"/>
      <c r="L359" s="373"/>
      <c r="M359" s="373"/>
    </row>
    <row r="360" spans="1:13" outlineLevel="1">
      <c r="A360" s="119"/>
      <c r="B360" s="374" t="s">
        <v>426</v>
      </c>
      <c r="C360" s="373"/>
      <c r="D360" s="600">
        <f>Cover!$D$22</f>
        <v>0</v>
      </c>
      <c r="E360" s="373"/>
      <c r="F360" s="373"/>
      <c r="G360" s="375">
        <v>6.1186122030422202E-2</v>
      </c>
      <c r="H360" s="375">
        <v>3.8114597890992301E-2</v>
      </c>
      <c r="I360" s="601">
        <f>Input!$M$181</f>
        <v>2.5000000000000001E-2</v>
      </c>
      <c r="J360" s="601">
        <f>Input!$M$181</f>
        <v>2.5000000000000001E-2</v>
      </c>
      <c r="K360" s="601">
        <f>Input!$M$181</f>
        <v>2.5000000000000001E-2</v>
      </c>
      <c r="L360" s="601">
        <f>Input!$M$181</f>
        <v>2.5000000000000001E-2</v>
      </c>
      <c r="M360" s="601">
        <f>Input!$M$181</f>
        <v>2.5000000000000001E-2</v>
      </c>
    </row>
    <row r="361" spans="1:13" outlineLevel="1">
      <c r="A361" s="119"/>
      <c r="B361" s="598" t="s">
        <v>427</v>
      </c>
      <c r="C361" s="373"/>
      <c r="D361" s="373"/>
      <c r="E361" s="373"/>
      <c r="F361" s="400"/>
      <c r="G361" s="389">
        <f t="shared" ref="G361:M361" si="72">IF($D$360=1,AVERAGE(G356,G358)*G360,G356*G360)</f>
        <v>358.00000000000028</v>
      </c>
      <c r="H361" s="389">
        <f t="shared" si="72"/>
        <v>300.0000000000004</v>
      </c>
      <c r="I361" s="389">
        <f t="shared" si="72"/>
        <v>155.75</v>
      </c>
      <c r="J361" s="389">
        <f t="shared" si="72"/>
        <v>146.53181045001836</v>
      </c>
      <c r="K361" s="389">
        <f t="shared" si="72"/>
        <v>160.27943017990162</v>
      </c>
      <c r="L361" s="389">
        <f t="shared" si="72"/>
        <v>186.4186992372837</v>
      </c>
      <c r="M361" s="389">
        <f t="shared" si="72"/>
        <v>230.47886572512044</v>
      </c>
    </row>
    <row r="362" spans="1:13" outlineLevel="1">
      <c r="A362" s="119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</row>
    <row r="363" spans="1:13" outlineLevel="1">
      <c r="A363" s="121"/>
      <c r="B363" s="433" t="s">
        <v>428</v>
      </c>
      <c r="C363" s="433"/>
      <c r="D363" s="433"/>
      <c r="E363" s="433"/>
      <c r="F363" s="433"/>
      <c r="G363" s="433"/>
      <c r="H363" s="433"/>
      <c r="I363" s="433"/>
      <c r="J363" s="433"/>
      <c r="K363" s="433"/>
      <c r="L363" s="433"/>
      <c r="M363" s="433"/>
    </row>
    <row r="364" spans="1:13" outlineLevel="1">
      <c r="A364" s="119"/>
      <c r="B364" s="374" t="s">
        <v>429</v>
      </c>
      <c r="C364" s="373"/>
      <c r="D364" s="373"/>
      <c r="E364" s="373"/>
      <c r="F364" s="373"/>
      <c r="G364" s="375">
        <v>0.15059466700457999</v>
      </c>
      <c r="H364" s="375">
        <v>-8.9804908747639994E-2</v>
      </c>
      <c r="I364" s="601">
        <f>Input!I$166</f>
        <v>-0.02</v>
      </c>
      <c r="J364" s="601">
        <f>Input!J$166</f>
        <v>-0.01</v>
      </c>
      <c r="K364" s="601">
        <f>Input!K$166</f>
        <v>0</v>
      </c>
      <c r="L364" s="601">
        <f>Input!L$166</f>
        <v>0.01</v>
      </c>
      <c r="M364" s="601">
        <f>Input!M$166</f>
        <v>0.01</v>
      </c>
    </row>
    <row r="365" spans="1:13" outlineLevel="1">
      <c r="A365" s="119"/>
      <c r="B365" s="374"/>
      <c r="C365" s="373"/>
      <c r="D365" s="373"/>
      <c r="E365" s="373"/>
      <c r="F365" s="373"/>
      <c r="G365" s="375"/>
      <c r="H365" s="375"/>
      <c r="I365" s="375"/>
      <c r="J365" s="375"/>
      <c r="K365" s="375"/>
      <c r="L365" s="375"/>
      <c r="M365" s="375"/>
    </row>
    <row r="366" spans="1:13" outlineLevel="1">
      <c r="A366" s="119"/>
      <c r="B366" s="374" t="s">
        <v>424</v>
      </c>
      <c r="C366" s="373"/>
      <c r="D366" s="373"/>
      <c r="E366" s="373"/>
      <c r="F366" s="400"/>
      <c r="G366" s="389">
        <f t="shared" ref="G366:M366" si="73">F368</f>
        <v>55241</v>
      </c>
      <c r="H366" s="389">
        <f t="shared" si="73"/>
        <v>63560</v>
      </c>
      <c r="I366" s="389">
        <f t="shared" si="73"/>
        <v>57852</v>
      </c>
      <c r="J366" s="389">
        <f t="shared" si="73"/>
        <v>56694.96</v>
      </c>
      <c r="K366" s="389">
        <f t="shared" si="73"/>
        <v>56128.010399999999</v>
      </c>
      <c r="L366" s="389">
        <f t="shared" si="73"/>
        <v>56128.010399999999</v>
      </c>
      <c r="M366" s="389">
        <f t="shared" si="73"/>
        <v>56689.290503999997</v>
      </c>
    </row>
    <row r="367" spans="1:13" outlineLevel="1">
      <c r="A367" s="119"/>
      <c r="B367" s="374" t="s">
        <v>152</v>
      </c>
      <c r="C367" s="373"/>
      <c r="D367" s="373"/>
      <c r="E367" s="373"/>
      <c r="F367" s="400"/>
      <c r="G367" s="389">
        <f t="shared" ref="G367:M367" si="74">G366*G364</f>
        <v>8319.0000000000036</v>
      </c>
      <c r="H367" s="389">
        <f t="shared" si="74"/>
        <v>-5707.9999999999982</v>
      </c>
      <c r="I367" s="389">
        <f t="shared" si="74"/>
        <v>-1157.04</v>
      </c>
      <c r="J367" s="389">
        <f t="shared" si="74"/>
        <v>-566.94960000000003</v>
      </c>
      <c r="K367" s="389">
        <f t="shared" si="74"/>
        <v>0</v>
      </c>
      <c r="L367" s="389">
        <f t="shared" si="74"/>
        <v>561.28010400000005</v>
      </c>
      <c r="M367" s="389">
        <f t="shared" si="74"/>
        <v>566.89290503999996</v>
      </c>
    </row>
    <row r="368" spans="1:13" outlineLevel="1">
      <c r="A368" s="119"/>
      <c r="B368" s="374" t="s">
        <v>425</v>
      </c>
      <c r="C368" s="373"/>
      <c r="D368" s="373"/>
      <c r="E368" s="373"/>
      <c r="F368" s="602">
        <f>F549+F560</f>
        <v>55241</v>
      </c>
      <c r="G368" s="602">
        <f t="shared" ref="G368:M368" si="75">G366+G367</f>
        <v>63560</v>
      </c>
      <c r="H368" s="602">
        <f t="shared" si="75"/>
        <v>57852</v>
      </c>
      <c r="I368" s="602">
        <f t="shared" si="75"/>
        <v>56694.96</v>
      </c>
      <c r="J368" s="602">
        <f t="shared" si="75"/>
        <v>56128.010399999999</v>
      </c>
      <c r="K368" s="602">
        <f t="shared" si="75"/>
        <v>56128.010399999999</v>
      </c>
      <c r="L368" s="602">
        <f t="shared" si="75"/>
        <v>56689.290503999997</v>
      </c>
      <c r="M368" s="602">
        <f t="shared" si="75"/>
        <v>57256.183409039993</v>
      </c>
    </row>
    <row r="369" spans="1:14" outlineLevel="1">
      <c r="A369" s="119"/>
      <c r="B369" s="374"/>
      <c r="C369" s="373"/>
      <c r="D369" s="373"/>
      <c r="E369" s="373"/>
      <c r="F369" s="389"/>
      <c r="G369" s="389"/>
      <c r="H369" s="389"/>
      <c r="I369" s="389"/>
      <c r="J369" s="389"/>
      <c r="K369" s="389"/>
      <c r="L369" s="389"/>
      <c r="M369" s="389"/>
    </row>
    <row r="370" spans="1:14" outlineLevel="1">
      <c r="A370" s="119"/>
      <c r="B370" s="374" t="s">
        <v>430</v>
      </c>
      <c r="C370" s="373"/>
      <c r="D370" s="373"/>
      <c r="E370" s="373"/>
      <c r="F370" s="375">
        <v>0.17045310548324599</v>
      </c>
      <c r="G370" s="375">
        <v>0.18664254247954701</v>
      </c>
      <c r="H370" s="375">
        <v>0.20061536334093899</v>
      </c>
      <c r="I370" s="601">
        <f>Input!I167</f>
        <v>0.2</v>
      </c>
      <c r="J370" s="601">
        <f>Input!J167</f>
        <v>0.2</v>
      </c>
      <c r="K370" s="601">
        <f>Input!K167</f>
        <v>0.2</v>
      </c>
      <c r="L370" s="601">
        <f>Input!L167</f>
        <v>0.2</v>
      </c>
      <c r="M370" s="601">
        <f>Input!M167</f>
        <v>0.2</v>
      </c>
    </row>
    <row r="371" spans="1:14" outlineLevel="1">
      <c r="A371" s="119"/>
      <c r="B371" s="374" t="s">
        <v>431</v>
      </c>
      <c r="C371" s="373"/>
      <c r="D371" s="373"/>
      <c r="E371" s="373"/>
      <c r="F371" s="400"/>
      <c r="G371" s="389">
        <f t="shared" ref="G371:M371" si="76">G368*G370</f>
        <v>11863.000000000007</v>
      </c>
      <c r="H371" s="389">
        <f t="shared" si="76"/>
        <v>11606.000000000002</v>
      </c>
      <c r="I371" s="389">
        <f t="shared" si="76"/>
        <v>11338.992</v>
      </c>
      <c r="J371" s="389">
        <f t="shared" si="76"/>
        <v>11225.602080000001</v>
      </c>
      <c r="K371" s="389">
        <f t="shared" si="76"/>
        <v>11225.602080000001</v>
      </c>
      <c r="L371" s="389">
        <f t="shared" si="76"/>
        <v>11337.8581008</v>
      </c>
      <c r="M371" s="389">
        <f t="shared" si="76"/>
        <v>11451.236681807999</v>
      </c>
    </row>
    <row r="372" spans="1:14" outlineLevel="1">
      <c r="A372" s="119"/>
      <c r="B372" s="374" t="s">
        <v>432</v>
      </c>
      <c r="C372" s="373"/>
      <c r="D372" s="373"/>
      <c r="E372" s="373"/>
      <c r="F372" s="400"/>
      <c r="G372" s="389">
        <f t="shared" ref="G372:M372" si="77">G368-G371</f>
        <v>51696.999999999993</v>
      </c>
      <c r="H372" s="389">
        <f t="shared" si="77"/>
        <v>46246</v>
      </c>
      <c r="I372" s="389">
        <f t="shared" si="77"/>
        <v>45355.968000000001</v>
      </c>
      <c r="J372" s="389">
        <f t="shared" si="77"/>
        <v>44902.408320000002</v>
      </c>
      <c r="K372" s="389">
        <f t="shared" si="77"/>
        <v>44902.408320000002</v>
      </c>
      <c r="L372" s="389">
        <f t="shared" si="77"/>
        <v>45351.4324032</v>
      </c>
      <c r="M372" s="389">
        <f t="shared" si="77"/>
        <v>45804.946727231996</v>
      </c>
    </row>
    <row r="373" spans="1:14" outlineLevel="1">
      <c r="A373" s="119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</row>
    <row r="374" spans="1:14" outlineLevel="1">
      <c r="A374" s="119"/>
      <c r="B374" s="598"/>
      <c r="C374" s="373"/>
      <c r="D374" s="599" t="s">
        <v>25</v>
      </c>
      <c r="E374" s="373"/>
      <c r="F374" s="373"/>
      <c r="G374" s="400"/>
      <c r="H374" s="373"/>
      <c r="I374" s="373"/>
      <c r="J374" s="373"/>
      <c r="K374" s="373"/>
      <c r="L374" s="373"/>
      <c r="M374" s="373"/>
    </row>
    <row r="375" spans="1:14" outlineLevel="1">
      <c r="A375" s="119"/>
      <c r="B375" s="374" t="s">
        <v>426</v>
      </c>
      <c r="C375" s="373"/>
      <c r="D375" s="600">
        <f>Cover!$D$22</f>
        <v>0</v>
      </c>
      <c r="E375" s="373"/>
      <c r="F375" s="373"/>
      <c r="G375" s="375">
        <v>3.3362900744012602E-2</v>
      </c>
      <c r="H375" s="375">
        <v>2.8728760226557602E-2</v>
      </c>
      <c r="I375" s="601">
        <f>Input!$M$182</f>
        <v>2.9000000000000001E-2</v>
      </c>
      <c r="J375" s="601">
        <f>Input!$M$182</f>
        <v>2.9000000000000001E-2</v>
      </c>
      <c r="K375" s="601">
        <f>Input!$M$182</f>
        <v>2.9000000000000001E-2</v>
      </c>
      <c r="L375" s="601">
        <f>Input!$M$182</f>
        <v>2.9000000000000001E-2</v>
      </c>
      <c r="M375" s="601">
        <f>Input!$M$182</f>
        <v>2.9000000000000001E-2</v>
      </c>
    </row>
    <row r="376" spans="1:14" outlineLevel="1">
      <c r="A376" s="119"/>
      <c r="B376" s="598" t="s">
        <v>371</v>
      </c>
      <c r="C376" s="373"/>
      <c r="D376" s="373"/>
      <c r="E376" s="373"/>
      <c r="F376" s="400"/>
      <c r="G376" s="389">
        <f t="shared" ref="G376:M376" si="78">IF($D$375=1,AVERAGE(G366,G368)*G375,G366*G375)</f>
        <v>1843.0000000000002</v>
      </c>
      <c r="H376" s="389">
        <f t="shared" si="78"/>
        <v>1826.0000000000011</v>
      </c>
      <c r="I376" s="389">
        <f t="shared" si="78"/>
        <v>1677.7080000000001</v>
      </c>
      <c r="J376" s="389">
        <f t="shared" si="78"/>
        <v>1644.1538399999999</v>
      </c>
      <c r="K376" s="389">
        <f t="shared" si="78"/>
        <v>1627.7123016</v>
      </c>
      <c r="L376" s="389">
        <f t="shared" si="78"/>
        <v>1627.7123016</v>
      </c>
      <c r="M376" s="389">
        <f t="shared" si="78"/>
        <v>1643.989424616</v>
      </c>
    </row>
    <row r="377" spans="1:14" outlineLevel="1">
      <c r="A377" s="119"/>
      <c r="B377" s="398"/>
      <c r="C377" s="381"/>
      <c r="D377" s="381"/>
      <c r="E377" s="381"/>
      <c r="F377" s="399"/>
      <c r="G377" s="399"/>
      <c r="H377" s="399"/>
      <c r="I377" s="392"/>
      <c r="J377" s="392"/>
      <c r="K377" s="392"/>
      <c r="L377" s="392"/>
      <c r="M377" s="392"/>
    </row>
    <row r="378" spans="1:14">
      <c r="A378" s="119"/>
      <c r="B378" s="598"/>
      <c r="C378" s="373"/>
      <c r="D378" s="373"/>
      <c r="E378" s="373"/>
      <c r="F378" s="400"/>
      <c r="G378" s="389"/>
      <c r="H378" s="389"/>
      <c r="I378" s="389"/>
      <c r="J378" s="389"/>
      <c r="K378" s="389"/>
      <c r="L378" s="389"/>
      <c r="M378" s="389"/>
    </row>
    <row r="379" spans="1:14">
      <c r="A379" s="119" t="s">
        <v>26</v>
      </c>
      <c r="B379" s="364" t="s">
        <v>433</v>
      </c>
      <c r="C379" s="364"/>
      <c r="D379" s="364"/>
      <c r="E379" s="364"/>
      <c r="F379" s="364"/>
      <c r="G379" s="364"/>
      <c r="H379" s="364"/>
      <c r="I379" s="364"/>
      <c r="J379" s="364"/>
      <c r="K379" s="364"/>
      <c r="L379" s="364"/>
      <c r="M379" s="364"/>
      <c r="N379" s="364"/>
    </row>
    <row r="380" spans="1:14" outlineLevel="1">
      <c r="A380" s="119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</row>
    <row r="381" spans="1:14" ht="17.399999999999999" customHeight="1" outlineLevel="1" thickBot="1">
      <c r="A381" s="118"/>
      <c r="B381" s="369" t="str">
        <f>Input!$B$8</f>
        <v>All figures in CHF millions unless stated</v>
      </c>
      <c r="C381" s="368"/>
      <c r="D381" s="368"/>
      <c r="E381" s="368"/>
      <c r="F381" s="370">
        <f t="shared" ref="F381:M381" si="79">F$2</f>
        <v>2023</v>
      </c>
      <c r="G381" s="370">
        <f t="shared" si="79"/>
        <v>2024</v>
      </c>
      <c r="H381" s="370">
        <f t="shared" si="79"/>
        <v>2025</v>
      </c>
      <c r="I381" s="371">
        <f t="shared" si="79"/>
        <v>2026</v>
      </c>
      <c r="J381" s="371">
        <f t="shared" si="79"/>
        <v>2027</v>
      </c>
      <c r="K381" s="371">
        <f t="shared" si="79"/>
        <v>2028</v>
      </c>
      <c r="L381" s="371">
        <f t="shared" si="79"/>
        <v>2029</v>
      </c>
      <c r="M381" s="371">
        <f t="shared" si="79"/>
        <v>2030</v>
      </c>
    </row>
    <row r="382" spans="1:14" ht="17.399999999999999" customHeight="1" outlineLevel="1" thickTop="1">
      <c r="A382" s="118"/>
      <c r="B382" s="369" t="str">
        <f>CONCATENATE("Model Running: ",INDEX(Input!$B$12:$B$14,Input!$D$6)," Drivers")</f>
        <v>Model Running: Base Case Drivers</v>
      </c>
      <c r="C382" s="368"/>
      <c r="D382" s="368"/>
      <c r="E382" s="368"/>
      <c r="F382" s="368"/>
      <c r="G382" s="368"/>
      <c r="H382" s="368"/>
      <c r="I382" s="368"/>
      <c r="J382" s="368"/>
      <c r="K382" s="368"/>
      <c r="L382" s="368"/>
      <c r="M382" s="368"/>
    </row>
    <row r="383" spans="1:14" outlineLevel="1">
      <c r="A383" s="119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</row>
    <row r="384" spans="1:14" outlineLevel="1">
      <c r="A384" s="119"/>
      <c r="B384" s="433" t="s">
        <v>434</v>
      </c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</row>
    <row r="385" spans="1:13" outlineLevel="1">
      <c r="A385" s="119"/>
      <c r="B385" s="374" t="s">
        <v>435</v>
      </c>
      <c r="C385" s="373"/>
      <c r="D385" s="373"/>
      <c r="E385" s="373"/>
      <c r="F385" s="373"/>
      <c r="G385" s="373"/>
      <c r="H385" s="373"/>
      <c r="I385" s="389">
        <f>I514</f>
        <v>4579</v>
      </c>
      <c r="J385" s="389">
        <f>J514</f>
        <v>4210.2724180007335</v>
      </c>
      <c r="K385" s="389">
        <f>K514</f>
        <v>4760.177207196064</v>
      </c>
      <c r="L385" s="389">
        <f>L514</f>
        <v>5805.7479694913472</v>
      </c>
      <c r="M385" s="389">
        <f>M514</f>
        <v>7568.1546290048163</v>
      </c>
    </row>
    <row r="386" spans="1:13" outlineLevel="1">
      <c r="A386" s="119"/>
      <c r="B386" s="374" t="s">
        <v>436</v>
      </c>
      <c r="C386" s="373"/>
      <c r="D386" s="373"/>
      <c r="E386" s="373"/>
      <c r="F386" s="373"/>
      <c r="G386" s="373"/>
      <c r="H386" s="373"/>
      <c r="I386" s="389">
        <f>I487</f>
        <v>13733.401500413984</v>
      </c>
      <c r="J386" s="389">
        <f>J487</f>
        <v>14174.144064994862</v>
      </c>
      <c r="K386" s="389">
        <f>K487</f>
        <v>14255.556038281829</v>
      </c>
      <c r="L386" s="389">
        <f>L487</f>
        <v>14599.323943189005</v>
      </c>
      <c r="M386" s="389">
        <f>M487</f>
        <v>14942.688881250406</v>
      </c>
    </row>
    <row r="387" spans="1:13" outlineLevel="1">
      <c r="A387" s="119"/>
      <c r="B387" s="374" t="s">
        <v>437</v>
      </c>
      <c r="C387" s="373"/>
      <c r="D387" s="373"/>
      <c r="E387" s="373"/>
      <c r="F387" s="373"/>
      <c r="G387" s="373"/>
      <c r="H387" s="373"/>
      <c r="I387" s="389">
        <f>I498</f>
        <v>-4766.6848499999996</v>
      </c>
      <c r="J387" s="389">
        <f>J498</f>
        <v>-4746.8986109999996</v>
      </c>
      <c r="K387" s="389">
        <f>K498</f>
        <v>-4770.6331040549985</v>
      </c>
      <c r="L387" s="389">
        <f>L498</f>
        <v>-4819.2568645386373</v>
      </c>
      <c r="M387" s="389">
        <f>M498</f>
        <v>-4954.1960567457181</v>
      </c>
    </row>
    <row r="388" spans="1:13" outlineLevel="1">
      <c r="A388" s="119"/>
      <c r="B388" s="374" t="s">
        <v>438</v>
      </c>
      <c r="C388" s="373"/>
      <c r="D388" s="373"/>
      <c r="E388" s="373"/>
      <c r="F388" s="373"/>
      <c r="G388" s="373"/>
      <c r="H388" s="373"/>
      <c r="I388" s="389">
        <f>SUM(I501:I507)</f>
        <v>-9335.4442324132506</v>
      </c>
      <c r="J388" s="389">
        <f>SUM(J501:J507)</f>
        <v>-8877.3406647995325</v>
      </c>
      <c r="K388" s="389">
        <f>SUM(K501:K507)</f>
        <v>-8439.3521719315468</v>
      </c>
      <c r="L388" s="389">
        <f>SUM(L501:L507)</f>
        <v>-8017.6604191368997</v>
      </c>
      <c r="M388" s="389">
        <f>SUM(M501:M507)</f>
        <v>-10152.276349459156</v>
      </c>
    </row>
    <row r="389" spans="1:13" outlineLevel="1">
      <c r="A389" s="119"/>
      <c r="B389" s="374" t="s">
        <v>439</v>
      </c>
      <c r="C389" s="373"/>
      <c r="D389" s="373"/>
      <c r="E389" s="373"/>
      <c r="F389" s="373"/>
      <c r="G389" s="373"/>
      <c r="H389" s="373"/>
      <c r="I389" s="392">
        <f>I511</f>
        <v>0</v>
      </c>
      <c r="J389" s="392">
        <f>J511</f>
        <v>0</v>
      </c>
      <c r="K389" s="392">
        <f>K511</f>
        <v>0</v>
      </c>
      <c r="L389" s="392">
        <f>L511</f>
        <v>0</v>
      </c>
      <c r="M389" s="392">
        <f>M511</f>
        <v>0</v>
      </c>
    </row>
    <row r="390" spans="1:13" outlineLevel="1">
      <c r="A390" s="119"/>
      <c r="B390" s="374" t="s">
        <v>440</v>
      </c>
      <c r="C390" s="373"/>
      <c r="D390" s="373"/>
      <c r="E390" s="373"/>
      <c r="F390" s="373"/>
      <c r="G390" s="373"/>
      <c r="H390" s="373"/>
      <c r="I390" s="389">
        <f>SUM(I385:I389)</f>
        <v>4210.2724180007335</v>
      </c>
      <c r="J390" s="389">
        <f>SUM(J385:J389)</f>
        <v>4760.1772071960622</v>
      </c>
      <c r="K390" s="389">
        <f>SUM(K385:K389)</f>
        <v>5805.7479694913491</v>
      </c>
      <c r="L390" s="389">
        <f>SUM(L385:L389)</f>
        <v>7568.1546290048145</v>
      </c>
      <c r="M390" s="389">
        <f>SUM(M385:M389)</f>
        <v>7404.3711040503476</v>
      </c>
    </row>
    <row r="391" spans="1:13" outlineLevel="1">
      <c r="A391" s="119"/>
      <c r="B391" s="374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</row>
    <row r="392" spans="1:13" outlineLevel="1">
      <c r="A392" s="119"/>
      <c r="B392" s="374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</row>
    <row r="393" spans="1:13" outlineLevel="1">
      <c r="A393" s="119"/>
      <c r="B393" s="433" t="s">
        <v>441</v>
      </c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</row>
    <row r="394" spans="1:13" outlineLevel="1">
      <c r="A394" s="119"/>
      <c r="B394" s="374" t="s">
        <v>424</v>
      </c>
      <c r="C394" s="373"/>
      <c r="D394" s="373"/>
      <c r="E394" s="373"/>
      <c r="F394" s="373"/>
      <c r="G394" s="373"/>
      <c r="H394" s="389"/>
      <c r="I394" s="389">
        <f>H396</f>
        <v>0</v>
      </c>
      <c r="J394" s="389">
        <f>I396</f>
        <v>0</v>
      </c>
      <c r="K394" s="389">
        <f>J396</f>
        <v>0</v>
      </c>
      <c r="L394" s="389">
        <f>K396</f>
        <v>0</v>
      </c>
      <c r="M394" s="389">
        <f>L396</f>
        <v>0</v>
      </c>
    </row>
    <row r="395" spans="1:13" outlineLevel="1">
      <c r="A395" s="119"/>
      <c r="B395" s="374" t="s">
        <v>152</v>
      </c>
      <c r="C395" s="373"/>
      <c r="D395" s="373"/>
      <c r="E395" s="373"/>
      <c r="F395" s="373"/>
      <c r="G395" s="373"/>
      <c r="H395" s="389"/>
      <c r="I395" s="407">
        <f>-MIN(I394,I390-Input!$F$184)</f>
        <v>0</v>
      </c>
      <c r="J395" s="407">
        <f>-MIN(J394,J390-Input!$F$184)</f>
        <v>0</v>
      </c>
      <c r="K395" s="407">
        <f>-MIN(K394,K390-Input!$F$184)</f>
        <v>0</v>
      </c>
      <c r="L395" s="407">
        <f>-MIN(L394,L390-Input!$F$184)</f>
        <v>0</v>
      </c>
      <c r="M395" s="407">
        <f>-MIN(M394,M390-Input!$F$184)</f>
        <v>0</v>
      </c>
    </row>
    <row r="396" spans="1:13" outlineLevel="1">
      <c r="A396" s="119"/>
      <c r="B396" s="374" t="s">
        <v>425</v>
      </c>
      <c r="C396" s="373"/>
      <c r="D396" s="373"/>
      <c r="E396" s="373"/>
      <c r="F396" s="373"/>
      <c r="G396" s="373"/>
      <c r="H396" s="602">
        <f>H556</f>
        <v>0</v>
      </c>
      <c r="I396" s="602">
        <f>I394+I395</f>
        <v>0</v>
      </c>
      <c r="J396" s="602">
        <f>J394+J395</f>
        <v>0</v>
      </c>
      <c r="K396" s="602">
        <f>K394+K395</f>
        <v>0</v>
      </c>
      <c r="L396" s="602">
        <f>L394+L395</f>
        <v>0</v>
      </c>
      <c r="M396" s="602">
        <f>M394+M395</f>
        <v>0</v>
      </c>
    </row>
    <row r="397" spans="1:13" outlineLevel="1">
      <c r="A397" s="119"/>
      <c r="B397" s="598"/>
      <c r="C397" s="373"/>
      <c r="D397" s="599" t="s">
        <v>25</v>
      </c>
      <c r="E397" s="599"/>
      <c r="F397" s="373"/>
      <c r="G397" s="373"/>
      <c r="H397" s="373"/>
      <c r="I397" s="373"/>
      <c r="J397" s="373"/>
      <c r="K397" s="373"/>
      <c r="L397" s="373"/>
      <c r="M397" s="373"/>
    </row>
    <row r="398" spans="1:13" outlineLevel="1">
      <c r="A398" s="119"/>
      <c r="B398" s="374" t="s">
        <v>426</v>
      </c>
      <c r="C398" s="373"/>
      <c r="D398" s="600">
        <f>Cover!$D$22</f>
        <v>0</v>
      </c>
      <c r="E398" s="373"/>
      <c r="F398" s="373"/>
      <c r="G398" s="375"/>
      <c r="H398" s="375">
        <v>0.05</v>
      </c>
      <c r="I398" s="601">
        <f>Input!$M$183</f>
        <v>4.2000000000000003E-2</v>
      </c>
      <c r="J398" s="601">
        <f>Input!$M$183</f>
        <v>4.2000000000000003E-2</v>
      </c>
      <c r="K398" s="601">
        <f>Input!$M$183</f>
        <v>4.2000000000000003E-2</v>
      </c>
      <c r="L398" s="601">
        <f>Input!$M$183</f>
        <v>4.2000000000000003E-2</v>
      </c>
      <c r="M398" s="601">
        <f>Input!$M$183</f>
        <v>4.2000000000000003E-2</v>
      </c>
    </row>
    <row r="399" spans="1:13" outlineLevel="1">
      <c r="A399" s="119"/>
      <c r="B399" s="598" t="s">
        <v>371</v>
      </c>
      <c r="C399" s="373"/>
      <c r="D399" s="373"/>
      <c r="E399" s="373"/>
      <c r="F399" s="373"/>
      <c r="G399" s="389"/>
      <c r="H399" s="389">
        <f t="shared" ref="H399:M399" si="80">IF($D$398=1,AVERAGE(H394,H396)*H398,H394*H398)</f>
        <v>0</v>
      </c>
      <c r="I399" s="389">
        <f t="shared" si="80"/>
        <v>0</v>
      </c>
      <c r="J399" s="389">
        <f t="shared" si="80"/>
        <v>0</v>
      </c>
      <c r="K399" s="389">
        <f t="shared" si="80"/>
        <v>0</v>
      </c>
      <c r="L399" s="389">
        <f t="shared" si="80"/>
        <v>0</v>
      </c>
      <c r="M399" s="389">
        <f t="shared" si="80"/>
        <v>0</v>
      </c>
    </row>
    <row r="400" spans="1:13" outlineLevel="1">
      <c r="A400" s="119"/>
      <c r="B400" s="374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</row>
    <row r="401" spans="1:14" outlineLevel="1">
      <c r="A401" s="119"/>
      <c r="B401" s="398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</row>
    <row r="402" spans="1:14" outlineLevel="1">
      <c r="A402" s="119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</row>
    <row r="403" spans="1:14" outlineLevel="1">
      <c r="A403" s="121"/>
      <c r="B403" s="433" t="s">
        <v>442</v>
      </c>
      <c r="C403" s="433"/>
      <c r="D403" s="433"/>
      <c r="E403" s="433"/>
      <c r="F403" s="433"/>
      <c r="G403" s="433"/>
      <c r="H403" s="433"/>
      <c r="I403" s="433"/>
      <c r="J403" s="433"/>
      <c r="K403" s="433"/>
      <c r="L403" s="433"/>
      <c r="M403" s="433"/>
    </row>
    <row r="404" spans="1:14" outlineLevel="1">
      <c r="A404" s="119"/>
      <c r="B404" s="374" t="s">
        <v>371</v>
      </c>
      <c r="C404" s="373"/>
      <c r="D404" s="373"/>
      <c r="E404" s="373"/>
      <c r="F404" s="400"/>
      <c r="G404" s="389">
        <f t="shared" ref="G404:M404" si="81">G376+G399</f>
        <v>1843.0000000000002</v>
      </c>
      <c r="H404" s="389">
        <f t="shared" si="81"/>
        <v>1826.0000000000011</v>
      </c>
      <c r="I404" s="389">
        <f t="shared" si="81"/>
        <v>1677.7080000000001</v>
      </c>
      <c r="J404" s="389">
        <f t="shared" si="81"/>
        <v>1644.1538399999999</v>
      </c>
      <c r="K404" s="389">
        <f t="shared" si="81"/>
        <v>1627.7123016</v>
      </c>
      <c r="L404" s="389">
        <f t="shared" si="81"/>
        <v>1627.7123016</v>
      </c>
      <c r="M404" s="389">
        <f t="shared" si="81"/>
        <v>1643.989424616</v>
      </c>
    </row>
    <row r="405" spans="1:14" outlineLevel="1">
      <c r="A405" s="119"/>
      <c r="B405" s="374" t="s">
        <v>443</v>
      </c>
      <c r="C405" s="373"/>
      <c r="D405" s="373"/>
      <c r="E405" s="373"/>
      <c r="F405" s="400"/>
      <c r="G405" s="389">
        <f t="shared" ref="G405:M405" si="82">-G361</f>
        <v>-358.00000000000028</v>
      </c>
      <c r="H405" s="389">
        <f t="shared" si="82"/>
        <v>-300.0000000000004</v>
      </c>
      <c r="I405" s="389">
        <f t="shared" si="82"/>
        <v>-155.75</v>
      </c>
      <c r="J405" s="389">
        <f t="shared" si="82"/>
        <v>-146.53181045001836</v>
      </c>
      <c r="K405" s="389">
        <f t="shared" si="82"/>
        <v>-160.27943017990162</v>
      </c>
      <c r="L405" s="389">
        <f t="shared" si="82"/>
        <v>-186.4186992372837</v>
      </c>
      <c r="M405" s="389">
        <f t="shared" si="82"/>
        <v>-230.47886572512044</v>
      </c>
    </row>
    <row r="406" spans="1:14" outlineLevel="1">
      <c r="A406" s="119"/>
      <c r="B406" s="374" t="s">
        <v>444</v>
      </c>
      <c r="C406" s="373"/>
      <c r="D406" s="373"/>
      <c r="E406" s="373"/>
      <c r="F406" s="400"/>
      <c r="G406" s="602">
        <f t="shared" ref="G406:M406" si="83">G404+G405</f>
        <v>1485</v>
      </c>
      <c r="H406" s="602">
        <f t="shared" si="83"/>
        <v>1526.0000000000007</v>
      </c>
      <c r="I406" s="602">
        <f t="shared" si="83"/>
        <v>1521.9580000000001</v>
      </c>
      <c r="J406" s="602">
        <f t="shared" si="83"/>
        <v>1497.6220295499816</v>
      </c>
      <c r="K406" s="602">
        <f t="shared" si="83"/>
        <v>1467.4328714200983</v>
      </c>
      <c r="L406" s="602">
        <f t="shared" si="83"/>
        <v>1441.2936023627162</v>
      </c>
      <c r="M406" s="602">
        <f t="shared" si="83"/>
        <v>1413.5105588908796</v>
      </c>
    </row>
    <row r="407" spans="1:14" outlineLevel="1">
      <c r="A407" s="119"/>
      <c r="B407" s="398"/>
      <c r="C407" s="381"/>
      <c r="D407" s="381"/>
      <c r="E407" s="381"/>
      <c r="F407" s="399"/>
      <c r="G407" s="399"/>
      <c r="H407" s="399"/>
      <c r="I407" s="392"/>
      <c r="J407" s="392"/>
      <c r="K407" s="392"/>
      <c r="L407" s="392"/>
      <c r="M407" s="392"/>
    </row>
    <row r="408" spans="1:14">
      <c r="A408" s="119"/>
      <c r="B408" s="374"/>
      <c r="C408" s="373"/>
      <c r="D408" s="373"/>
      <c r="E408" s="373"/>
      <c r="F408" s="400"/>
      <c r="G408" s="389"/>
      <c r="H408" s="389"/>
      <c r="I408" s="389"/>
      <c r="J408" s="389"/>
      <c r="K408" s="389"/>
      <c r="L408" s="389"/>
      <c r="M408" s="389"/>
    </row>
    <row r="409" spans="1:14">
      <c r="A409" s="119" t="s">
        <v>26</v>
      </c>
      <c r="B409" s="364" t="s">
        <v>445</v>
      </c>
      <c r="C409" s="364"/>
      <c r="D409" s="364"/>
      <c r="E409" s="364"/>
      <c r="F409" s="364"/>
      <c r="G409" s="364"/>
      <c r="H409" s="364"/>
      <c r="I409" s="364"/>
      <c r="J409" s="364"/>
      <c r="K409" s="364"/>
      <c r="L409" s="364"/>
      <c r="M409" s="364"/>
      <c r="N409" s="364"/>
    </row>
    <row r="410" spans="1:14" outlineLevel="1">
      <c r="A410" s="119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</row>
    <row r="411" spans="1:14" ht="17.399999999999999" customHeight="1" outlineLevel="1" thickBot="1">
      <c r="A411" s="118"/>
      <c r="B411" s="369" t="str">
        <f>Input!$B$8</f>
        <v>All figures in CHF millions unless stated</v>
      </c>
      <c r="C411" s="368"/>
      <c r="D411" s="368"/>
      <c r="E411" s="368"/>
      <c r="F411" s="370">
        <f t="shared" ref="F411:M411" si="84">F$2</f>
        <v>2023</v>
      </c>
      <c r="G411" s="370">
        <f t="shared" si="84"/>
        <v>2024</v>
      </c>
      <c r="H411" s="370">
        <f t="shared" si="84"/>
        <v>2025</v>
      </c>
      <c r="I411" s="371">
        <f t="shared" si="84"/>
        <v>2026</v>
      </c>
      <c r="J411" s="371">
        <f t="shared" si="84"/>
        <v>2027</v>
      </c>
      <c r="K411" s="371">
        <f t="shared" si="84"/>
        <v>2028</v>
      </c>
      <c r="L411" s="371">
        <f t="shared" si="84"/>
        <v>2029</v>
      </c>
      <c r="M411" s="371">
        <f t="shared" si="84"/>
        <v>2030</v>
      </c>
    </row>
    <row r="412" spans="1:14" ht="17.399999999999999" customHeight="1" outlineLevel="1" thickTop="1">
      <c r="A412" s="118"/>
      <c r="B412" s="369" t="str">
        <f>CONCATENATE("Model Running: ",INDEX(Input!$B$12:$B$14,Input!$D$6)," Drivers")</f>
        <v>Model Running: Base Case Drivers</v>
      </c>
      <c r="C412" s="368"/>
      <c r="D412" s="368"/>
      <c r="E412" s="368"/>
      <c r="F412" s="368"/>
      <c r="G412" s="368"/>
      <c r="H412" s="368"/>
      <c r="I412" s="368"/>
      <c r="J412" s="368"/>
      <c r="K412" s="368"/>
      <c r="L412" s="368"/>
      <c r="M412" s="368"/>
    </row>
    <row r="413" spans="1:14" outlineLevel="1">
      <c r="A413" s="119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</row>
    <row r="414" spans="1:14" outlineLevel="1">
      <c r="A414" s="119"/>
      <c r="B414" s="433" t="s">
        <v>446</v>
      </c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</row>
    <row r="415" spans="1:14" outlineLevel="1">
      <c r="A415" s="119"/>
      <c r="B415" s="374" t="s">
        <v>424</v>
      </c>
      <c r="C415" s="373"/>
      <c r="D415" s="373"/>
      <c r="E415" s="373"/>
      <c r="F415" s="373"/>
      <c r="G415" s="389"/>
      <c r="H415" s="389"/>
      <c r="I415" s="389">
        <f>H418</f>
        <v>63551</v>
      </c>
      <c r="J415" s="389">
        <f>I418</f>
        <v>64799.638488724246</v>
      </c>
      <c r="K415" s="389">
        <f>J418</f>
        <v>66324.249353952735</v>
      </c>
      <c r="L415" s="389">
        <f>K418</f>
        <v>67679.187825630972</v>
      </c>
      <c r="M415" s="389">
        <f>L418</f>
        <v>69482.10518280862</v>
      </c>
    </row>
    <row r="416" spans="1:14" outlineLevel="1">
      <c r="A416" s="119"/>
      <c r="B416" s="374" t="s">
        <v>447</v>
      </c>
      <c r="C416" s="373"/>
      <c r="D416" s="373"/>
      <c r="E416" s="373"/>
      <c r="F416" s="373"/>
      <c r="G416" s="389"/>
      <c r="H416" s="389"/>
      <c r="I416" s="407">
        <f>I463</f>
        <v>9249.1739905500017</v>
      </c>
      <c r="J416" s="407">
        <f>J463</f>
        <v>9649.4358558765562</v>
      </c>
      <c r="K416" s="407">
        <f>K463</f>
        <v>9609.49270693791</v>
      </c>
      <c r="L416" s="407">
        <f>L463</f>
        <v>10185.973769365211</v>
      </c>
      <c r="M416" s="407">
        <f>M463</f>
        <v>10774.638812594016</v>
      </c>
      <c r="N416" s="439"/>
    </row>
    <row r="417" spans="1:14" outlineLevel="1">
      <c r="A417" s="119"/>
      <c r="B417" s="374" t="s">
        <v>448</v>
      </c>
      <c r="C417" s="373"/>
      <c r="D417" s="373"/>
      <c r="E417" s="373"/>
      <c r="F417" s="373"/>
      <c r="G417" s="389"/>
      <c r="H417" s="389"/>
      <c r="I417" s="407">
        <f>-MAX(0,I29*I463,MIN(-H501,Input!$F$186*I463))</f>
        <v>-8000.5355018257515</v>
      </c>
      <c r="J417" s="407">
        <f>-MAX(0,J29*J463,MIN(-I501,Input!$F$186*J463))</f>
        <v>-8124.8249906480596</v>
      </c>
      <c r="K417" s="407">
        <f>-MAX(0,K29*K463,MIN(-J501,Input!$F$186*K463))</f>
        <v>-8254.554235259664</v>
      </c>
      <c r="L417" s="407">
        <f>-MAX(0,L29*L463,MIN(-K501,Input!$F$186*L463))</f>
        <v>-8383.0564121875686</v>
      </c>
      <c r="M417" s="407">
        <f>-MAX(0,M29*M463,MIN(-L501,Input!$F$186*M463))</f>
        <v>-8511.9646619492723</v>
      </c>
      <c r="N417" s="439"/>
    </row>
    <row r="418" spans="1:14" outlineLevel="1">
      <c r="A418" s="119"/>
      <c r="B418" s="374" t="s">
        <v>425</v>
      </c>
      <c r="C418" s="373"/>
      <c r="D418" s="373"/>
      <c r="E418" s="373"/>
      <c r="F418" s="373"/>
      <c r="G418" s="389"/>
      <c r="H418" s="602">
        <f>H574</f>
        <v>63551</v>
      </c>
      <c r="I418" s="603">
        <f>SUM(I415:I417)</f>
        <v>64799.638488724246</v>
      </c>
      <c r="J418" s="603">
        <f>SUM(J415:J417)</f>
        <v>66324.249353952735</v>
      </c>
      <c r="K418" s="603">
        <f>SUM(K415:K417)</f>
        <v>67679.187825630972</v>
      </c>
      <c r="L418" s="603">
        <f>SUM(L415:L417)</f>
        <v>69482.10518280862</v>
      </c>
      <c r="M418" s="603">
        <f>SUM(M415:M417)</f>
        <v>71744.779333453364</v>
      </c>
      <c r="N418" s="439"/>
    </row>
    <row r="419" spans="1:14" outlineLevel="1">
      <c r="A419" s="119"/>
      <c r="B419" s="398"/>
      <c r="C419" s="381"/>
      <c r="D419" s="381"/>
      <c r="E419" s="381"/>
      <c r="F419" s="381"/>
      <c r="G419" s="381"/>
      <c r="H419" s="392"/>
      <c r="I419" s="434"/>
      <c r="J419" s="434"/>
      <c r="K419" s="434"/>
      <c r="L419" s="434"/>
      <c r="M419" s="434"/>
      <c r="N419" s="439"/>
    </row>
    <row r="420" spans="1:14" outlineLevel="1">
      <c r="A420" s="119"/>
      <c r="B420" s="374"/>
      <c r="C420" s="373"/>
      <c r="D420" s="373"/>
      <c r="E420" s="373"/>
      <c r="F420" s="373"/>
      <c r="G420" s="373"/>
      <c r="H420" s="389"/>
      <c r="I420" s="407"/>
      <c r="J420" s="407"/>
      <c r="K420" s="407"/>
      <c r="L420" s="407"/>
      <c r="M420" s="407"/>
      <c r="N420" s="439"/>
    </row>
    <row r="421" spans="1:14" outlineLevel="1">
      <c r="A421" s="119"/>
      <c r="B421" s="433" t="s">
        <v>449</v>
      </c>
      <c r="C421" s="373"/>
      <c r="D421" s="373"/>
      <c r="E421" s="373"/>
      <c r="F421" s="373"/>
      <c r="G421" s="373"/>
      <c r="H421" s="373"/>
      <c r="I421" s="378"/>
      <c r="J421" s="378"/>
      <c r="K421" s="378"/>
      <c r="L421" s="378"/>
      <c r="M421" s="378"/>
      <c r="N421" s="439"/>
    </row>
    <row r="422" spans="1:14" outlineLevel="1">
      <c r="A422" s="119"/>
      <c r="B422" s="374" t="s">
        <v>424</v>
      </c>
      <c r="C422" s="373"/>
      <c r="D422" s="373"/>
      <c r="E422" s="373"/>
      <c r="F422" s="373"/>
      <c r="G422" s="389"/>
      <c r="H422" s="389"/>
      <c r="I422" s="407">
        <f>H426</f>
        <v>248</v>
      </c>
      <c r="J422" s="407">
        <f>I426</f>
        <v>307.28957686249998</v>
      </c>
      <c r="K422" s="407">
        <f>J426</f>
        <v>369.14493491299078</v>
      </c>
      <c r="L422" s="407">
        <f>K426</f>
        <v>430.74424713695169</v>
      </c>
      <c r="M422" s="407">
        <f>L426</f>
        <v>496.03895078672872</v>
      </c>
      <c r="N422" s="439"/>
    </row>
    <row r="423" spans="1:14" outlineLevel="1">
      <c r="A423" s="119"/>
      <c r="B423" s="374" t="s">
        <v>450</v>
      </c>
      <c r="C423" s="373"/>
      <c r="D423" s="373"/>
      <c r="E423" s="373"/>
      <c r="F423" s="373"/>
      <c r="G423" s="389"/>
      <c r="H423" s="389"/>
      <c r="I423" s="407">
        <f>I462</f>
        <v>237.15830745000005</v>
      </c>
      <c r="J423" s="407">
        <f>J462</f>
        <v>247.421432201963</v>
      </c>
      <c r="K423" s="407">
        <f>K462</f>
        <v>246.39724889584386</v>
      </c>
      <c r="L423" s="407">
        <f>L462</f>
        <v>261.17881459910802</v>
      </c>
      <c r="M423" s="407">
        <f>M462</f>
        <v>276.27279006651327</v>
      </c>
      <c r="N423" s="439"/>
    </row>
    <row r="424" spans="1:14" outlineLevel="1">
      <c r="A424" s="119"/>
      <c r="B424" s="374" t="s">
        <v>451</v>
      </c>
      <c r="C424" s="373"/>
      <c r="D424" s="373"/>
      <c r="E424" s="373"/>
      <c r="F424" s="373"/>
      <c r="G424" s="389"/>
      <c r="H424" s="389"/>
      <c r="I424" s="407">
        <f>I503</f>
        <v>0</v>
      </c>
      <c r="J424" s="407">
        <f>J503</f>
        <v>0</v>
      </c>
      <c r="K424" s="407">
        <f>K503</f>
        <v>0</v>
      </c>
      <c r="L424" s="407">
        <f>L503</f>
        <v>0</v>
      </c>
      <c r="M424" s="407">
        <f>M503</f>
        <v>0</v>
      </c>
      <c r="N424" s="439"/>
    </row>
    <row r="425" spans="1:14" outlineLevel="1">
      <c r="A425" s="119"/>
      <c r="B425" s="374" t="s">
        <v>452</v>
      </c>
      <c r="C425" s="373"/>
      <c r="D425" s="373"/>
      <c r="E425" s="373"/>
      <c r="F425" s="373"/>
      <c r="G425" s="389"/>
      <c r="H425" s="389"/>
      <c r="I425" s="407">
        <f>-MAX(0,I30*I462)</f>
        <v>-177.86873058750004</v>
      </c>
      <c r="J425" s="407">
        <f>-MAX(0,J30*J462)</f>
        <v>-185.56607415147226</v>
      </c>
      <c r="K425" s="407">
        <f>-MAX(0,K30*K462)</f>
        <v>-184.79793667188289</v>
      </c>
      <c r="L425" s="407">
        <f>-MAX(0,L30*L462)</f>
        <v>-195.88411094933102</v>
      </c>
      <c r="M425" s="407">
        <f>-MAX(0,M30*M462)</f>
        <v>-207.20459254988495</v>
      </c>
      <c r="N425" s="439"/>
    </row>
    <row r="426" spans="1:14" outlineLevel="1">
      <c r="A426" s="119"/>
      <c r="B426" s="374" t="s">
        <v>425</v>
      </c>
      <c r="C426" s="373"/>
      <c r="D426" s="373"/>
      <c r="E426" s="373"/>
      <c r="F426" s="373"/>
      <c r="G426" s="389"/>
      <c r="H426" s="602">
        <f>H576</f>
        <v>248</v>
      </c>
      <c r="I426" s="603">
        <f>SUM(I422:I425)</f>
        <v>307.28957686249998</v>
      </c>
      <c r="J426" s="603">
        <f>SUM(J422:J425)</f>
        <v>369.14493491299078</v>
      </c>
      <c r="K426" s="603">
        <f>SUM(K422:K425)</f>
        <v>430.74424713695169</v>
      </c>
      <c r="L426" s="603">
        <f>SUM(L422:L425)</f>
        <v>496.03895078672872</v>
      </c>
      <c r="M426" s="603">
        <f>SUM(M422:M425)</f>
        <v>565.10714830335701</v>
      </c>
      <c r="N426" s="439"/>
    </row>
    <row r="427" spans="1:14" outlineLevel="1">
      <c r="A427" s="119"/>
      <c r="B427" s="398"/>
      <c r="C427" s="381"/>
      <c r="D427" s="381"/>
      <c r="E427" s="381"/>
      <c r="F427" s="381"/>
      <c r="G427" s="381"/>
      <c r="H427" s="392"/>
      <c r="I427" s="392"/>
      <c r="J427" s="392"/>
      <c r="K427" s="392"/>
      <c r="L427" s="392"/>
      <c r="M427" s="392"/>
    </row>
    <row r="428" spans="1:14" outlineLevel="1">
      <c r="A428" s="119"/>
      <c r="B428" s="374"/>
      <c r="C428" s="373"/>
      <c r="D428" s="373"/>
      <c r="E428" s="373"/>
      <c r="F428" s="373"/>
      <c r="G428" s="373"/>
      <c r="H428" s="389"/>
      <c r="I428" s="389"/>
      <c r="J428" s="389"/>
      <c r="K428" s="389"/>
      <c r="L428" s="389"/>
      <c r="M428" s="389"/>
    </row>
    <row r="429" spans="1:14" outlineLevel="1">
      <c r="A429" s="119"/>
      <c r="B429" s="433" t="s">
        <v>453</v>
      </c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</row>
    <row r="430" spans="1:14" outlineLevel="1">
      <c r="A430" s="119"/>
      <c r="B430" s="374" t="s">
        <v>424</v>
      </c>
      <c r="C430" s="373"/>
      <c r="D430" s="373"/>
      <c r="E430" s="373"/>
      <c r="F430" s="373"/>
      <c r="G430" s="389"/>
      <c r="H430" s="389"/>
      <c r="I430" s="389">
        <f>H432</f>
        <v>388</v>
      </c>
      <c r="J430" s="389">
        <f>I432</f>
        <v>388</v>
      </c>
      <c r="K430" s="389">
        <f>J432</f>
        <v>388</v>
      </c>
      <c r="L430" s="389">
        <f>K432</f>
        <v>388</v>
      </c>
      <c r="M430" s="389">
        <f>L432</f>
        <v>388</v>
      </c>
    </row>
    <row r="431" spans="1:14" outlineLevel="1">
      <c r="A431" s="119"/>
      <c r="B431" s="374" t="s">
        <v>454</v>
      </c>
      <c r="C431" s="373"/>
      <c r="D431" s="373"/>
      <c r="E431" s="373"/>
      <c r="F431" s="373"/>
      <c r="G431" s="389"/>
      <c r="H431" s="389"/>
      <c r="I431" s="389">
        <f>I31</f>
        <v>0</v>
      </c>
      <c r="J431" s="389">
        <f>J31</f>
        <v>0</v>
      </c>
      <c r="K431" s="389">
        <f>K31</f>
        <v>0</v>
      </c>
      <c r="L431" s="389">
        <f>L31</f>
        <v>0</v>
      </c>
      <c r="M431" s="389">
        <f>M31</f>
        <v>2000</v>
      </c>
    </row>
    <row r="432" spans="1:14" outlineLevel="1">
      <c r="A432" s="119"/>
      <c r="B432" s="374" t="s">
        <v>425</v>
      </c>
      <c r="C432" s="373"/>
      <c r="D432" s="373"/>
      <c r="E432" s="373"/>
      <c r="F432" s="373"/>
      <c r="G432" s="389"/>
      <c r="H432" s="602">
        <f>-H571</f>
        <v>388</v>
      </c>
      <c r="I432" s="602">
        <f>SUM(I430:I431)</f>
        <v>388</v>
      </c>
      <c r="J432" s="602">
        <f>SUM(J430:J431)</f>
        <v>388</v>
      </c>
      <c r="K432" s="602">
        <f>SUM(K430:K431)</f>
        <v>388</v>
      </c>
      <c r="L432" s="602">
        <f>SUM(L430:L431)</f>
        <v>388</v>
      </c>
      <c r="M432" s="602">
        <f>SUM(M430:M431)</f>
        <v>2388</v>
      </c>
    </row>
    <row r="433" spans="1:14" outlineLevel="1">
      <c r="A433" s="119"/>
      <c r="B433" s="398"/>
      <c r="C433" s="381"/>
      <c r="D433" s="381"/>
      <c r="E433" s="381"/>
      <c r="F433" s="399"/>
      <c r="G433" s="399"/>
      <c r="H433" s="399"/>
      <c r="I433" s="392"/>
      <c r="J433" s="392"/>
      <c r="K433" s="392"/>
      <c r="L433" s="392"/>
      <c r="M433" s="392"/>
    </row>
    <row r="434" spans="1:14">
      <c r="A434" s="119"/>
      <c r="B434" s="374"/>
      <c r="C434" s="373"/>
      <c r="D434" s="373"/>
      <c r="E434" s="373"/>
      <c r="F434" s="373"/>
      <c r="G434" s="373"/>
      <c r="H434" s="389"/>
      <c r="I434" s="389"/>
      <c r="J434" s="389"/>
      <c r="K434" s="389"/>
      <c r="L434" s="389"/>
      <c r="M434" s="389"/>
    </row>
    <row r="435" spans="1:14">
      <c r="A435" s="119" t="s">
        <v>26</v>
      </c>
      <c r="B435" s="364" t="s">
        <v>455</v>
      </c>
      <c r="C435" s="364"/>
      <c r="D435" s="364"/>
      <c r="E435" s="364"/>
      <c r="F435" s="364"/>
      <c r="G435" s="364"/>
      <c r="H435" s="364"/>
      <c r="I435" s="364"/>
      <c r="J435" s="364"/>
      <c r="K435" s="364"/>
      <c r="L435" s="364"/>
      <c r="M435" s="364"/>
      <c r="N435" s="364"/>
    </row>
    <row r="436" spans="1:14" outlineLevel="1">
      <c r="A436" s="119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</row>
    <row r="437" spans="1:14" ht="17.399999999999999" customHeight="1" outlineLevel="1" thickBot="1">
      <c r="A437" s="118"/>
      <c r="B437" s="369" t="str">
        <f>Input!$B$8</f>
        <v>All figures in CHF millions unless stated</v>
      </c>
      <c r="C437" s="368"/>
      <c r="D437" s="368"/>
      <c r="E437" s="368"/>
      <c r="F437" s="370">
        <f t="shared" ref="F437:N437" si="85">F$2</f>
        <v>2023</v>
      </c>
      <c r="G437" s="370">
        <f t="shared" si="85"/>
        <v>2024</v>
      </c>
      <c r="H437" s="370">
        <f t="shared" si="85"/>
        <v>2025</v>
      </c>
      <c r="I437" s="371">
        <f t="shared" si="85"/>
        <v>2026</v>
      </c>
      <c r="J437" s="371">
        <f t="shared" si="85"/>
        <v>2027</v>
      </c>
      <c r="K437" s="371">
        <f t="shared" si="85"/>
        <v>2028</v>
      </c>
      <c r="L437" s="371">
        <f t="shared" si="85"/>
        <v>2029</v>
      </c>
      <c r="M437" s="371">
        <f t="shared" si="85"/>
        <v>2030</v>
      </c>
      <c r="N437" s="372" t="str">
        <f t="shared" si="85"/>
        <v>Term</v>
      </c>
    </row>
    <row r="438" spans="1:14" ht="17.399999999999999" customHeight="1" outlineLevel="1" thickTop="1">
      <c r="A438" s="118"/>
      <c r="B438" s="369" t="str">
        <f>CONCATENATE("Model Running: ",INDEX(Input!$B$12:$B$14,Input!$D$6)," Drivers")</f>
        <v>Model Running: Base Case Drivers</v>
      </c>
      <c r="C438" s="368"/>
      <c r="D438" s="368"/>
      <c r="E438" s="368"/>
      <c r="F438" s="368"/>
      <c r="G438" s="368"/>
      <c r="H438" s="368"/>
      <c r="I438" s="368"/>
      <c r="J438" s="368"/>
      <c r="K438" s="368"/>
      <c r="L438" s="368"/>
      <c r="M438" s="368"/>
    </row>
    <row r="439" spans="1:14" outlineLevel="1">
      <c r="A439" s="119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</row>
    <row r="440" spans="1:14" outlineLevel="1">
      <c r="A440" s="119"/>
      <c r="B440" s="374" t="s">
        <v>456</v>
      </c>
      <c r="C440" s="373"/>
      <c r="D440" s="373"/>
      <c r="E440" s="373"/>
      <c r="F440" s="382">
        <v>92998</v>
      </c>
      <c r="G440" s="382">
        <v>91354</v>
      </c>
      <c r="H440" s="382">
        <v>89490</v>
      </c>
      <c r="I440" s="389">
        <f t="shared" ref="I440:N440" si="86">H440*(1+I9)</f>
        <v>89937.45</v>
      </c>
      <c r="J440" s="389">
        <f t="shared" si="86"/>
        <v>91286.511749999991</v>
      </c>
      <c r="K440" s="389">
        <f t="shared" si="86"/>
        <v>91742.944308749982</v>
      </c>
      <c r="L440" s="389">
        <f t="shared" si="86"/>
        <v>93577.803194924985</v>
      </c>
      <c r="M440" s="389">
        <f t="shared" si="86"/>
        <v>96197.981684382888</v>
      </c>
      <c r="N440" s="389">
        <f t="shared" si="86"/>
        <v>97640.951409648624</v>
      </c>
    </row>
    <row r="441" spans="1:14" outlineLevel="1">
      <c r="A441" s="119"/>
      <c r="B441" s="374" t="s">
        <v>278</v>
      </c>
      <c r="C441" s="373"/>
      <c r="D441" s="373"/>
      <c r="E441" s="373"/>
      <c r="F441" s="382">
        <v>353</v>
      </c>
      <c r="G441" s="382">
        <v>366</v>
      </c>
      <c r="H441" s="382">
        <v>395</v>
      </c>
      <c r="I441" s="389">
        <f t="shared" ref="I441:N441" si="87">I440*I10</f>
        <v>377.73728999999997</v>
      </c>
      <c r="J441" s="389">
        <f t="shared" si="87"/>
        <v>392.53200052499994</v>
      </c>
      <c r="K441" s="389">
        <f t="shared" si="87"/>
        <v>394.49466052762494</v>
      </c>
      <c r="L441" s="389">
        <f t="shared" si="87"/>
        <v>411.74233405766995</v>
      </c>
      <c r="M441" s="389">
        <f t="shared" si="87"/>
        <v>432.89091757972295</v>
      </c>
      <c r="N441" s="389">
        <f t="shared" si="87"/>
        <v>439.38428134341876</v>
      </c>
    </row>
    <row r="442" spans="1:14" outlineLevel="1">
      <c r="A442" s="119"/>
      <c r="B442" s="374" t="s">
        <v>279</v>
      </c>
      <c r="C442" s="373"/>
      <c r="D442" s="373"/>
      <c r="E442" s="373"/>
      <c r="F442" s="382">
        <v>-50328</v>
      </c>
      <c r="G442" s="382">
        <v>-48670</v>
      </c>
      <c r="H442" s="382">
        <v>-48694</v>
      </c>
      <c r="I442" s="389">
        <f t="shared" ref="I442:N442" si="88">H442*(1+I11)</f>
        <v>-48738.039819999998</v>
      </c>
      <c r="J442" s="389">
        <f t="shared" si="88"/>
        <v>-49651.425736424986</v>
      </c>
      <c r="K442" s="389">
        <f t="shared" si="88"/>
        <v>-50533.63254607447</v>
      </c>
      <c r="L442" s="389">
        <f t="shared" si="88"/>
        <v>-51462.02899924713</v>
      </c>
      <c r="M442" s="389">
        <f t="shared" si="88"/>
        <v>-52775.863791894226</v>
      </c>
      <c r="N442" s="389">
        <f t="shared" si="88"/>
        <v>-53567.501748772636</v>
      </c>
    </row>
    <row r="443" spans="1:14" outlineLevel="1">
      <c r="A443" s="119"/>
      <c r="B443" s="374" t="s">
        <v>280</v>
      </c>
      <c r="C443" s="373"/>
      <c r="D443" s="373"/>
      <c r="E443" s="373"/>
      <c r="F443" s="382">
        <v>-7765</v>
      </c>
      <c r="G443" s="382">
        <v>-7567</v>
      </c>
      <c r="H443" s="382">
        <v>-7306</v>
      </c>
      <c r="I443" s="389">
        <f t="shared" ref="I443:N443" si="89">I440*I12*-1</f>
        <v>-7284.9334500000004</v>
      </c>
      <c r="J443" s="389">
        <f t="shared" si="89"/>
        <v>-7348.5641958749993</v>
      </c>
      <c r="K443" s="389">
        <f t="shared" si="89"/>
        <v>-7339.4355446999989</v>
      </c>
      <c r="L443" s="389">
        <f t="shared" si="89"/>
        <v>-7439.4353539965368</v>
      </c>
      <c r="M443" s="389">
        <f t="shared" si="89"/>
        <v>-7599.6405530662487</v>
      </c>
      <c r="N443" s="389">
        <f t="shared" si="89"/>
        <v>-7713.635161362241</v>
      </c>
    </row>
    <row r="444" spans="1:14" outlineLevel="1">
      <c r="A444" s="119"/>
      <c r="B444" s="374" t="s">
        <v>457</v>
      </c>
      <c r="C444" s="373"/>
      <c r="D444" s="373"/>
      <c r="E444" s="373"/>
      <c r="F444" s="382">
        <v>-17549</v>
      </c>
      <c r="G444" s="382">
        <v>-18112</v>
      </c>
      <c r="H444" s="382">
        <v>-17883</v>
      </c>
      <c r="I444" s="389">
        <f t="shared" ref="I444:N444" si="90">I440*I13*-1</f>
        <v>-17987.490000000002</v>
      </c>
      <c r="J444" s="389">
        <f t="shared" si="90"/>
        <v>-18348.588861749999</v>
      </c>
      <c r="K444" s="389">
        <f t="shared" si="90"/>
        <v>-18440.331806058748</v>
      </c>
      <c r="L444" s="389">
        <f t="shared" si="90"/>
        <v>-18902.71624537485</v>
      </c>
      <c r="M444" s="389">
        <f t="shared" si="90"/>
        <v>-19528.190281929728</v>
      </c>
      <c r="N444" s="389">
        <f t="shared" si="90"/>
        <v>-19821.11313615867</v>
      </c>
    </row>
    <row r="445" spans="1:14" outlineLevel="1">
      <c r="A445" s="119"/>
      <c r="B445" s="374" t="s">
        <v>458</v>
      </c>
      <c r="C445" s="373"/>
      <c r="D445" s="373"/>
      <c r="E445" s="373"/>
      <c r="F445" s="382">
        <v>-1656</v>
      </c>
      <c r="G445" s="382">
        <v>-1667</v>
      </c>
      <c r="H445" s="382">
        <v>-1613</v>
      </c>
      <c r="I445" s="389">
        <f t="shared" ref="I445:N445" si="91">I440*I14*-1</f>
        <v>-1618.8740999999998</v>
      </c>
      <c r="J445" s="389">
        <f t="shared" si="91"/>
        <v>-1643.1572114999997</v>
      </c>
      <c r="K445" s="389">
        <f t="shared" si="91"/>
        <v>-1651.3729975574995</v>
      </c>
      <c r="L445" s="389">
        <f t="shared" si="91"/>
        <v>-1684.4004575086497</v>
      </c>
      <c r="M445" s="389">
        <f t="shared" si="91"/>
        <v>-1731.5636703188918</v>
      </c>
      <c r="N445" s="389">
        <f t="shared" si="91"/>
        <v>-1757.5371253736751</v>
      </c>
    </row>
    <row r="446" spans="1:14" outlineLevel="1">
      <c r="A446" s="119"/>
      <c r="B446" s="374" t="s">
        <v>283</v>
      </c>
      <c r="C446" s="373"/>
      <c r="D446" s="373"/>
      <c r="E446" s="373"/>
      <c r="F446" s="382">
        <v>132</v>
      </c>
      <c r="G446" s="382">
        <v>124</v>
      </c>
      <c r="H446" s="382">
        <v>135</v>
      </c>
      <c r="I446" s="389">
        <f t="shared" ref="I446:N446" si="92">I440*I15</f>
        <v>125.91243</v>
      </c>
      <c r="J446" s="389">
        <f t="shared" si="92"/>
        <v>127.80111644999998</v>
      </c>
      <c r="K446" s="389">
        <f t="shared" si="92"/>
        <v>119.26582760137497</v>
      </c>
      <c r="L446" s="389">
        <f t="shared" si="92"/>
        <v>131.00892447289499</v>
      </c>
      <c r="M446" s="389">
        <f t="shared" si="92"/>
        <v>134.67717435813603</v>
      </c>
      <c r="N446" s="389">
        <f t="shared" si="92"/>
        <v>136.69733197350808</v>
      </c>
    </row>
    <row r="447" spans="1:14" outlineLevel="1">
      <c r="A447" s="119"/>
      <c r="B447" s="374" t="s">
        <v>284</v>
      </c>
      <c r="C447" s="373"/>
      <c r="D447" s="373"/>
      <c r="E447" s="373"/>
      <c r="F447" s="382">
        <v>-1665</v>
      </c>
      <c r="G447" s="382">
        <v>-1195</v>
      </c>
      <c r="H447" s="382">
        <v>-1849</v>
      </c>
      <c r="I447" s="389">
        <f t="shared" ref="I447:N447" si="93">I440*I16*-1</f>
        <v>-2158.4987999999998</v>
      </c>
      <c r="J447" s="389">
        <f t="shared" si="93"/>
        <v>-1734.4437232499997</v>
      </c>
      <c r="K447" s="389">
        <f t="shared" si="93"/>
        <v>-1376.1441646312496</v>
      </c>
      <c r="L447" s="389">
        <f t="shared" si="93"/>
        <v>-1076.1447367416374</v>
      </c>
      <c r="M447" s="389">
        <f t="shared" si="93"/>
        <v>-913.88082600163739</v>
      </c>
      <c r="N447" s="389">
        <f t="shared" si="93"/>
        <v>-927.58903839166192</v>
      </c>
    </row>
    <row r="448" spans="1:14" outlineLevel="1">
      <c r="A448" s="119"/>
      <c r="B448" s="598" t="s">
        <v>459</v>
      </c>
      <c r="C448" s="373"/>
      <c r="D448" s="373"/>
      <c r="E448" s="373"/>
      <c r="F448" s="604">
        <f>F440+F441+F442+F443+F444+F445+F446+F447</f>
        <v>14520</v>
      </c>
      <c r="G448" s="604">
        <f>G440+G441+G442+G443+G444+G445+G446+G447</f>
        <v>14633</v>
      </c>
      <c r="H448" s="604">
        <f>H440+H441+H442+H443+H444+H445+H446+H447</f>
        <v>12675</v>
      </c>
      <c r="I448" s="604">
        <f t="shared" ref="I448:N448" si="94">SUM(I440:I447)</f>
        <v>12653.26355</v>
      </c>
      <c r="J448" s="604">
        <f t="shared" si="94"/>
        <v>13080.665138175003</v>
      </c>
      <c r="K448" s="604">
        <f t="shared" si="94"/>
        <v>12915.787737857012</v>
      </c>
      <c r="L448" s="604">
        <f t="shared" si="94"/>
        <v>13555.828660586742</v>
      </c>
      <c r="M448" s="604">
        <f t="shared" si="94"/>
        <v>14216.410653110011</v>
      </c>
      <c r="N448" s="604">
        <f t="shared" si="94"/>
        <v>14429.656812906665</v>
      </c>
    </row>
    <row r="449" spans="1:14" outlineLevel="1">
      <c r="A449" s="119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</row>
    <row r="450" spans="1:14" outlineLevel="1">
      <c r="A450" s="119"/>
      <c r="B450" s="374" t="s">
        <v>285</v>
      </c>
      <c r="C450" s="373"/>
      <c r="D450" s="373"/>
      <c r="E450" s="373"/>
      <c r="F450" s="382">
        <v>298</v>
      </c>
      <c r="G450" s="382">
        <v>474</v>
      </c>
      <c r="H450" s="382">
        <v>253</v>
      </c>
      <c r="I450" s="389">
        <f t="shared" ref="I450:N450" si="95">I440*I17</f>
        <v>269.81234999999998</v>
      </c>
      <c r="J450" s="389">
        <f t="shared" si="95"/>
        <v>255.60223289999996</v>
      </c>
      <c r="K450" s="389">
        <f t="shared" si="95"/>
        <v>247.70594963362495</v>
      </c>
      <c r="L450" s="389">
        <f t="shared" si="95"/>
        <v>262.01784894578998</v>
      </c>
      <c r="M450" s="389">
        <f t="shared" si="95"/>
        <v>269.35434871627206</v>
      </c>
      <c r="N450" s="389">
        <f t="shared" si="95"/>
        <v>273.39466394701617</v>
      </c>
    </row>
    <row r="451" spans="1:14" outlineLevel="1">
      <c r="A451" s="119"/>
      <c r="B451" s="374" t="s">
        <v>286</v>
      </c>
      <c r="C451" s="373"/>
      <c r="D451" s="373"/>
      <c r="E451" s="373"/>
      <c r="F451" s="382">
        <v>-755</v>
      </c>
      <c r="G451" s="382">
        <v>-383</v>
      </c>
      <c r="H451" s="382">
        <v>-651</v>
      </c>
      <c r="I451" s="389">
        <f t="shared" ref="I451:N451" si="96">I440*I18*-1</f>
        <v>-539.62469999999996</v>
      </c>
      <c r="J451" s="389">
        <f t="shared" si="96"/>
        <v>-502.07581462499991</v>
      </c>
      <c r="K451" s="389">
        <f t="shared" si="96"/>
        <v>-477.06331040549986</v>
      </c>
      <c r="L451" s="389">
        <f t="shared" si="96"/>
        <v>-467.88901597462495</v>
      </c>
      <c r="M451" s="389">
        <f t="shared" si="96"/>
        <v>-461.75031208503782</v>
      </c>
      <c r="N451" s="389">
        <f t="shared" si="96"/>
        <v>-468.67656676631333</v>
      </c>
    </row>
    <row r="452" spans="1:14" outlineLevel="1">
      <c r="A452" s="119"/>
      <c r="B452" s="598" t="s">
        <v>460</v>
      </c>
      <c r="C452" s="373"/>
      <c r="D452" s="373"/>
      <c r="E452" s="373"/>
      <c r="F452" s="604">
        <f t="shared" ref="F452:N452" si="97">F448+F450+F451</f>
        <v>14063</v>
      </c>
      <c r="G452" s="604">
        <f t="shared" si="97"/>
        <v>14724</v>
      </c>
      <c r="H452" s="604">
        <f t="shared" si="97"/>
        <v>12277</v>
      </c>
      <c r="I452" s="604">
        <f t="shared" si="97"/>
        <v>12383.4512</v>
      </c>
      <c r="J452" s="604">
        <f t="shared" si="97"/>
        <v>12834.191556450005</v>
      </c>
      <c r="K452" s="604">
        <f t="shared" si="97"/>
        <v>12686.430377085137</v>
      </c>
      <c r="L452" s="604">
        <f t="shared" si="97"/>
        <v>13349.957493557908</v>
      </c>
      <c r="M452" s="604">
        <f t="shared" si="97"/>
        <v>14024.014689741245</v>
      </c>
      <c r="N452" s="604">
        <f t="shared" si="97"/>
        <v>14234.374910087368</v>
      </c>
    </row>
    <row r="453" spans="1:14" outlineLevel="1">
      <c r="A453" s="119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</row>
    <row r="454" spans="1:14" outlineLevel="1">
      <c r="A454" s="119"/>
      <c r="B454" s="374" t="s">
        <v>461</v>
      </c>
      <c r="C454" s="373"/>
      <c r="D454" s="373"/>
      <c r="E454" s="373"/>
      <c r="F454" s="382">
        <v>284</v>
      </c>
      <c r="G454" s="382">
        <v>358</v>
      </c>
      <c r="H454" s="382">
        <v>300</v>
      </c>
      <c r="I454" s="407">
        <f>I361</f>
        <v>155.75</v>
      </c>
      <c r="J454" s="407">
        <f>J361</f>
        <v>146.53181045001836</v>
      </c>
      <c r="K454" s="407">
        <f>K361</f>
        <v>160.27943017990162</v>
      </c>
      <c r="L454" s="407">
        <f>L361</f>
        <v>186.4186992372837</v>
      </c>
      <c r="M454" s="407">
        <f>M361</f>
        <v>230.47886572512044</v>
      </c>
      <c r="N454" s="389">
        <f>M454*(1+N$9)</f>
        <v>233.93604871099723</v>
      </c>
    </row>
    <row r="455" spans="1:14" outlineLevel="1">
      <c r="A455" s="119"/>
      <c r="B455" s="374" t="s">
        <v>462</v>
      </c>
      <c r="C455" s="373"/>
      <c r="D455" s="373"/>
      <c r="E455" s="373"/>
      <c r="F455" s="382">
        <v>-1644</v>
      </c>
      <c r="G455" s="382">
        <v>-1843</v>
      </c>
      <c r="H455" s="382">
        <v>-1826</v>
      </c>
      <c r="I455" s="407">
        <f>-I404</f>
        <v>-1677.7080000000001</v>
      </c>
      <c r="J455" s="407">
        <f>-J404</f>
        <v>-1644.1538399999999</v>
      </c>
      <c r="K455" s="407">
        <f>-K404</f>
        <v>-1627.7123016</v>
      </c>
      <c r="L455" s="407">
        <f>-L404</f>
        <v>-1627.7123016</v>
      </c>
      <c r="M455" s="407">
        <f>-M404</f>
        <v>-1643.989424616</v>
      </c>
      <c r="N455" s="389">
        <f>M455*(1+N$9)</f>
        <v>-1668.6492659852397</v>
      </c>
    </row>
    <row r="456" spans="1:14" outlineLevel="1">
      <c r="A456" s="119"/>
      <c r="B456" s="598" t="s">
        <v>463</v>
      </c>
      <c r="C456" s="373"/>
      <c r="D456" s="373"/>
      <c r="E456" s="373"/>
      <c r="F456" s="604">
        <f t="shared" ref="F456:N456" si="98">F452+F454+F455</f>
        <v>12703</v>
      </c>
      <c r="G456" s="604">
        <f t="shared" si="98"/>
        <v>13239</v>
      </c>
      <c r="H456" s="604">
        <f t="shared" si="98"/>
        <v>10751</v>
      </c>
      <c r="I456" s="605">
        <f t="shared" si="98"/>
        <v>10861.493199999999</v>
      </c>
      <c r="J456" s="605">
        <f t="shared" si="98"/>
        <v>11336.569526900024</v>
      </c>
      <c r="K456" s="605">
        <f t="shared" si="98"/>
        <v>11218.997505665038</v>
      </c>
      <c r="L456" s="605">
        <f t="shared" si="98"/>
        <v>11908.66389119519</v>
      </c>
      <c r="M456" s="605">
        <f t="shared" si="98"/>
        <v>12610.504130850366</v>
      </c>
      <c r="N456" s="604">
        <f t="shared" si="98"/>
        <v>12799.661692813126</v>
      </c>
    </row>
    <row r="457" spans="1:14" outlineLevel="1">
      <c r="A457" s="119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</row>
    <row r="458" spans="1:14" outlineLevel="1">
      <c r="A458" s="119"/>
      <c r="B458" s="374" t="s">
        <v>161</v>
      </c>
      <c r="C458" s="373"/>
      <c r="D458" s="373"/>
      <c r="E458" s="373"/>
      <c r="F458" s="382">
        <v>-2314</v>
      </c>
      <c r="G458" s="382">
        <v>-3314</v>
      </c>
      <c r="H458" s="382">
        <v>-2640</v>
      </c>
      <c r="I458" s="389">
        <f t="shared" ref="I458:N458" si="99">-I456*I19</f>
        <v>-2552.4509019999996</v>
      </c>
      <c r="J458" s="389">
        <f t="shared" si="99"/>
        <v>-2664.0938388215054</v>
      </c>
      <c r="K458" s="389">
        <f t="shared" si="99"/>
        <v>-2636.4644138312838</v>
      </c>
      <c r="L458" s="389">
        <f t="shared" si="99"/>
        <v>-2798.5360144308697</v>
      </c>
      <c r="M458" s="389">
        <f t="shared" si="99"/>
        <v>-2963.4684707498359</v>
      </c>
      <c r="N458" s="389">
        <f t="shared" si="99"/>
        <v>-3007.9204978110843</v>
      </c>
    </row>
    <row r="459" spans="1:14" outlineLevel="1">
      <c r="A459" s="119"/>
      <c r="B459" s="374" t="s">
        <v>419</v>
      </c>
      <c r="C459" s="373"/>
      <c r="D459" s="373"/>
      <c r="E459" s="373"/>
      <c r="F459" s="382">
        <v>1120</v>
      </c>
      <c r="G459" s="382">
        <v>1249</v>
      </c>
      <c r="H459" s="382">
        <v>1143</v>
      </c>
      <c r="I459" s="389">
        <f t="shared" ref="I459:N459" si="100">H459*(1+I20)</f>
        <v>1177.29</v>
      </c>
      <c r="J459" s="389">
        <f t="shared" si="100"/>
        <v>1224.3815999999999</v>
      </c>
      <c r="K459" s="389">
        <f t="shared" si="100"/>
        <v>1273.3568640000001</v>
      </c>
      <c r="L459" s="389">
        <f t="shared" si="100"/>
        <v>1337.0247072000002</v>
      </c>
      <c r="M459" s="389">
        <f t="shared" si="100"/>
        <v>1403.8759425600003</v>
      </c>
      <c r="N459" s="389">
        <f t="shared" si="100"/>
        <v>1424.9340816984002</v>
      </c>
    </row>
    <row r="460" spans="1:14" outlineLevel="1">
      <c r="A460" s="119"/>
      <c r="B460" s="598" t="s">
        <v>464</v>
      </c>
      <c r="C460" s="373"/>
      <c r="D460" s="373"/>
      <c r="E460" s="373"/>
      <c r="F460" s="604">
        <f t="shared" ref="F460:N460" si="101">F456+F458+F459</f>
        <v>11509</v>
      </c>
      <c r="G460" s="604">
        <f t="shared" si="101"/>
        <v>11174</v>
      </c>
      <c r="H460" s="604">
        <f t="shared" si="101"/>
        <v>9254</v>
      </c>
      <c r="I460" s="604">
        <f t="shared" si="101"/>
        <v>9486.3322980000012</v>
      </c>
      <c r="J460" s="604">
        <f t="shared" si="101"/>
        <v>9896.8572880785196</v>
      </c>
      <c r="K460" s="604">
        <f t="shared" si="101"/>
        <v>9855.8899558337544</v>
      </c>
      <c r="L460" s="604">
        <f t="shared" si="101"/>
        <v>10447.15258396432</v>
      </c>
      <c r="M460" s="604">
        <f t="shared" si="101"/>
        <v>11050.91160266053</v>
      </c>
      <c r="N460" s="604">
        <f t="shared" si="101"/>
        <v>11216.675276700442</v>
      </c>
    </row>
    <row r="461" spans="1:14" outlineLevel="1">
      <c r="A461" s="119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</row>
    <row r="462" spans="1:14" outlineLevel="1">
      <c r="A462" s="119"/>
      <c r="B462" s="374" t="s">
        <v>465</v>
      </c>
      <c r="C462" s="373"/>
      <c r="D462" s="373"/>
      <c r="E462" s="373"/>
      <c r="F462" s="382">
        <v>300</v>
      </c>
      <c r="G462" s="382">
        <v>290</v>
      </c>
      <c r="H462" s="382">
        <v>221</v>
      </c>
      <c r="I462" s="389">
        <f t="shared" ref="I462:N462" si="102">I460*I21</f>
        <v>237.15830745000005</v>
      </c>
      <c r="J462" s="389">
        <f t="shared" si="102"/>
        <v>247.421432201963</v>
      </c>
      <c r="K462" s="389">
        <f t="shared" si="102"/>
        <v>246.39724889584386</v>
      </c>
      <c r="L462" s="389">
        <f t="shared" si="102"/>
        <v>261.17881459910802</v>
      </c>
      <c r="M462" s="389">
        <f t="shared" si="102"/>
        <v>276.27279006651327</v>
      </c>
      <c r="N462" s="389">
        <f t="shared" si="102"/>
        <v>280.41688191751103</v>
      </c>
    </row>
    <row r="463" spans="1:14" outlineLevel="1">
      <c r="A463" s="119"/>
      <c r="B463" s="598" t="s">
        <v>466</v>
      </c>
      <c r="C463" s="373"/>
      <c r="D463" s="373"/>
      <c r="E463" s="373"/>
      <c r="F463" s="604">
        <f t="shared" ref="F463:N463" si="103">F460-F462</f>
        <v>11209</v>
      </c>
      <c r="G463" s="604">
        <f t="shared" si="103"/>
        <v>10884</v>
      </c>
      <c r="H463" s="604">
        <f t="shared" si="103"/>
        <v>9033</v>
      </c>
      <c r="I463" s="604">
        <f t="shared" si="103"/>
        <v>9249.1739905500017</v>
      </c>
      <c r="J463" s="604">
        <f t="shared" si="103"/>
        <v>9649.4358558765562</v>
      </c>
      <c r="K463" s="604">
        <f t="shared" si="103"/>
        <v>9609.49270693791</v>
      </c>
      <c r="L463" s="604">
        <f t="shared" si="103"/>
        <v>10185.973769365211</v>
      </c>
      <c r="M463" s="604">
        <f t="shared" si="103"/>
        <v>10774.638812594016</v>
      </c>
      <c r="N463" s="604">
        <f t="shared" si="103"/>
        <v>10936.258394782932</v>
      </c>
    </row>
    <row r="464" spans="1:14" outlineLevel="1">
      <c r="A464" s="119"/>
      <c r="B464" s="398"/>
      <c r="C464" s="381"/>
      <c r="D464" s="381"/>
      <c r="E464" s="381"/>
      <c r="F464" s="399"/>
      <c r="G464" s="399"/>
      <c r="H464" s="399"/>
      <c r="I464" s="392"/>
      <c r="J464" s="392"/>
      <c r="K464" s="392"/>
      <c r="L464" s="392"/>
      <c r="M464" s="392"/>
      <c r="N464" s="392"/>
    </row>
    <row r="465" spans="1:14">
      <c r="A465" s="119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</row>
    <row r="466" spans="1:14">
      <c r="A466" s="119" t="s">
        <v>26</v>
      </c>
      <c r="B466" s="364" t="s">
        <v>467</v>
      </c>
      <c r="C466" s="364"/>
      <c r="D466" s="364"/>
      <c r="E466" s="364"/>
      <c r="F466" s="364"/>
      <c r="G466" s="364"/>
      <c r="H466" s="364"/>
      <c r="I466" s="364"/>
      <c r="J466" s="364"/>
      <c r="K466" s="364"/>
      <c r="L466" s="364"/>
      <c r="M466" s="364"/>
      <c r="N466" s="364"/>
    </row>
    <row r="467" spans="1:14" outlineLevel="1">
      <c r="A467" s="119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</row>
    <row r="468" spans="1:14" ht="17.399999999999999" customHeight="1" outlineLevel="1" thickBot="1">
      <c r="A468" s="118"/>
      <c r="B468" s="369" t="str">
        <f>Input!$B$8</f>
        <v>All figures in CHF millions unless stated</v>
      </c>
      <c r="C468" s="368"/>
      <c r="D468" s="368"/>
      <c r="E468" s="368"/>
      <c r="F468" s="370">
        <f t="shared" ref="F468:M468" si="104">F$2</f>
        <v>2023</v>
      </c>
      <c r="G468" s="370">
        <f t="shared" si="104"/>
        <v>2024</v>
      </c>
      <c r="H468" s="370">
        <f t="shared" si="104"/>
        <v>2025</v>
      </c>
      <c r="I468" s="371">
        <f t="shared" si="104"/>
        <v>2026</v>
      </c>
      <c r="J468" s="371">
        <f t="shared" si="104"/>
        <v>2027</v>
      </c>
      <c r="K468" s="371">
        <f t="shared" si="104"/>
        <v>2028</v>
      </c>
      <c r="L468" s="371">
        <f t="shared" si="104"/>
        <v>2029</v>
      </c>
      <c r="M468" s="371">
        <f t="shared" si="104"/>
        <v>2030</v>
      </c>
    </row>
    <row r="469" spans="1:14" ht="17.399999999999999" customHeight="1" outlineLevel="1" thickTop="1">
      <c r="A469" s="118"/>
      <c r="B469" s="369" t="str">
        <f>CONCATENATE("Model Running: ",INDEX(Input!$B$12:$B$14,Input!$D$6)," Drivers")</f>
        <v>Model Running: Base Case Drivers</v>
      </c>
      <c r="C469" s="368"/>
      <c r="D469" s="368"/>
      <c r="E469" s="368"/>
      <c r="F469" s="368"/>
      <c r="G469" s="368"/>
      <c r="H469" s="368"/>
      <c r="I469" s="368"/>
      <c r="J469" s="368"/>
      <c r="K469" s="368"/>
      <c r="L469" s="368"/>
      <c r="M469" s="368"/>
    </row>
    <row r="470" spans="1:14" outlineLevel="1">
      <c r="A470" s="119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</row>
    <row r="471" spans="1:14" outlineLevel="1">
      <c r="A471" s="119"/>
      <c r="B471" s="606" t="s">
        <v>468</v>
      </c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</row>
    <row r="472" spans="1:14" outlineLevel="1">
      <c r="A472" s="119"/>
      <c r="B472" s="374" t="s">
        <v>460</v>
      </c>
      <c r="C472" s="373"/>
      <c r="D472" s="373"/>
      <c r="E472" s="373"/>
      <c r="F472" s="382">
        <v>14063</v>
      </c>
      <c r="G472" s="382">
        <v>14724</v>
      </c>
      <c r="H472" s="382">
        <v>12277</v>
      </c>
      <c r="I472" s="389">
        <f>I452</f>
        <v>12383.4512</v>
      </c>
      <c r="J472" s="389">
        <f>J452</f>
        <v>12834.191556450005</v>
      </c>
      <c r="K472" s="389">
        <f>K452</f>
        <v>12686.430377085137</v>
      </c>
      <c r="L472" s="389">
        <f>L452</f>
        <v>13349.957493557908</v>
      </c>
      <c r="M472" s="389">
        <f>M452</f>
        <v>14024.014689741245</v>
      </c>
    </row>
    <row r="473" spans="1:14" outlineLevel="1">
      <c r="A473" s="119"/>
      <c r="B473" s="374" t="s">
        <v>469</v>
      </c>
      <c r="C473" s="373"/>
      <c r="D473" s="373"/>
      <c r="E473" s="373"/>
      <c r="F473" s="382">
        <v>3458</v>
      </c>
      <c r="G473" s="382">
        <v>3582</v>
      </c>
      <c r="H473" s="382">
        <v>3633</v>
      </c>
      <c r="I473" s="389">
        <f>I86</f>
        <v>3445.5400000000004</v>
      </c>
      <c r="J473" s="389">
        <f>J86</f>
        <v>3487.4769946500001</v>
      </c>
      <c r="K473" s="389">
        <f>K86</f>
        <v>3522.5745197118003</v>
      </c>
      <c r="L473" s="389">
        <f>L86</f>
        <v>3554.3918783964446</v>
      </c>
      <c r="M473" s="389">
        <f>M86</f>
        <v>3639.1378324679717</v>
      </c>
    </row>
    <row r="474" spans="1:14" outlineLevel="1">
      <c r="A474" s="119"/>
      <c r="B474" s="374" t="s">
        <v>470</v>
      </c>
      <c r="C474" s="373"/>
      <c r="D474" s="373"/>
      <c r="E474" s="373"/>
      <c r="F474" s="382">
        <v>647</v>
      </c>
      <c r="G474" s="382">
        <v>580</v>
      </c>
      <c r="H474" s="382">
        <v>923</v>
      </c>
      <c r="I474" s="407">
        <f>-(I447+I451)*I22</f>
        <v>944.34322499999985</v>
      </c>
      <c r="J474" s="407">
        <f>-(J447+J451)*J22</f>
        <v>782.78183825624978</v>
      </c>
      <c r="K474" s="407">
        <f>-(K447+K451)*K22</f>
        <v>648.62261626286227</v>
      </c>
      <c r="L474" s="407">
        <f>-(L447+L451)*L22</f>
        <v>540.41181345069174</v>
      </c>
      <c r="M474" s="407">
        <f>-(M447+M451)*M22</f>
        <v>481.4708983303363</v>
      </c>
    </row>
    <row r="475" spans="1:14" outlineLevel="1">
      <c r="A475" s="119"/>
      <c r="B475" s="374" t="s">
        <v>471</v>
      </c>
      <c r="C475" s="373"/>
      <c r="D475" s="373"/>
      <c r="E475" s="373"/>
      <c r="F475" s="382">
        <v>221</v>
      </c>
      <c r="G475" s="382">
        <v>62</v>
      </c>
      <c r="H475" s="382">
        <v>237</v>
      </c>
      <c r="I475" s="412">
        <v>0</v>
      </c>
      <c r="J475" s="412">
        <v>0</v>
      </c>
      <c r="K475" s="412">
        <v>0</v>
      </c>
      <c r="L475" s="412">
        <v>0</v>
      </c>
      <c r="M475" s="412">
        <v>0</v>
      </c>
    </row>
    <row r="476" spans="1:14" outlineLevel="1">
      <c r="A476" s="119"/>
      <c r="B476" s="374" t="s">
        <v>472</v>
      </c>
      <c r="C476" s="373"/>
      <c r="D476" s="373"/>
      <c r="E476" s="373"/>
      <c r="F476" s="382">
        <v>82</v>
      </c>
      <c r="G476" s="382">
        <v>-229</v>
      </c>
      <c r="H476" s="382">
        <v>110</v>
      </c>
      <c r="I476" s="412">
        <v>0</v>
      </c>
      <c r="J476" s="412">
        <v>0</v>
      </c>
      <c r="K476" s="412">
        <v>0</v>
      </c>
      <c r="L476" s="412">
        <v>0</v>
      </c>
      <c r="M476" s="412">
        <v>0</v>
      </c>
    </row>
    <row r="477" spans="1:14" outlineLevel="1">
      <c r="A477" s="119"/>
      <c r="B477" s="598" t="s">
        <v>473</v>
      </c>
      <c r="C477" s="373"/>
      <c r="D477" s="373"/>
      <c r="E477" s="373"/>
      <c r="F477" s="604">
        <f t="shared" ref="F477:M477" si="105">F472+F473+F474+F475+F476</f>
        <v>18471</v>
      </c>
      <c r="G477" s="604">
        <f t="shared" si="105"/>
        <v>18719</v>
      </c>
      <c r="H477" s="604">
        <f t="shared" si="105"/>
        <v>17180</v>
      </c>
      <c r="I477" s="605">
        <f t="shared" si="105"/>
        <v>16773.334425000001</v>
      </c>
      <c r="J477" s="605">
        <f t="shared" si="105"/>
        <v>17104.450389356254</v>
      </c>
      <c r="K477" s="605">
        <f t="shared" si="105"/>
        <v>16857.627513059801</v>
      </c>
      <c r="L477" s="605">
        <f t="shared" si="105"/>
        <v>17444.761185405045</v>
      </c>
      <c r="M477" s="605">
        <f t="shared" si="105"/>
        <v>18144.623420539552</v>
      </c>
    </row>
    <row r="478" spans="1:14" outlineLevel="1">
      <c r="A478" s="119"/>
      <c r="B478" s="373"/>
      <c r="C478" s="373"/>
      <c r="D478" s="373"/>
      <c r="E478" s="373"/>
      <c r="F478" s="373"/>
      <c r="G478" s="373"/>
      <c r="H478" s="373"/>
      <c r="I478" s="378"/>
      <c r="J478" s="378"/>
      <c r="K478" s="378"/>
      <c r="L478" s="378"/>
      <c r="M478" s="378"/>
    </row>
    <row r="479" spans="1:14" outlineLevel="1">
      <c r="A479" s="119"/>
      <c r="B479" s="374" t="s">
        <v>474</v>
      </c>
      <c r="C479" s="373"/>
      <c r="D479" s="373"/>
      <c r="E479" s="373"/>
      <c r="F479" s="382">
        <v>1134</v>
      </c>
      <c r="G479" s="382">
        <v>1208</v>
      </c>
      <c r="H479" s="382">
        <v>488</v>
      </c>
      <c r="I479" s="407">
        <f>I65</f>
        <v>119.12222613698532</v>
      </c>
      <c r="J479" s="407">
        <f>J65</f>
        <v>348.47536059198291</v>
      </c>
      <c r="K479" s="407">
        <f>K65</f>
        <v>585.5828664604777</v>
      </c>
      <c r="L479" s="407">
        <f>L65</f>
        <v>443.36926282632163</v>
      </c>
      <c r="M479" s="407">
        <f>M65</f>
        <v>199.48765451615839</v>
      </c>
    </row>
    <row r="480" spans="1:14" outlineLevel="1">
      <c r="A480" s="119"/>
      <c r="B480" s="374" t="s">
        <v>475</v>
      </c>
      <c r="C480" s="373"/>
      <c r="D480" s="373"/>
      <c r="E480" s="373"/>
      <c r="F480" s="382">
        <v>-425</v>
      </c>
      <c r="G480" s="382">
        <v>-334</v>
      </c>
      <c r="H480" s="382">
        <v>-807</v>
      </c>
      <c r="I480" s="412">
        <v>0</v>
      </c>
      <c r="J480" s="412">
        <v>0</v>
      </c>
      <c r="K480" s="412">
        <v>0</v>
      </c>
      <c r="L480" s="412">
        <v>0</v>
      </c>
      <c r="M480" s="412">
        <v>0</v>
      </c>
    </row>
    <row r="481" spans="1:13" outlineLevel="1">
      <c r="A481" s="119"/>
      <c r="B481" s="598" t="s">
        <v>476</v>
      </c>
      <c r="C481" s="373"/>
      <c r="D481" s="373"/>
      <c r="E481" s="373"/>
      <c r="F481" s="604">
        <f t="shared" ref="F481:M481" si="106">F477+F479+F480</f>
        <v>19180</v>
      </c>
      <c r="G481" s="604">
        <f t="shared" si="106"/>
        <v>19593</v>
      </c>
      <c r="H481" s="604">
        <f t="shared" si="106"/>
        <v>16861</v>
      </c>
      <c r="I481" s="605">
        <f t="shared" si="106"/>
        <v>16892.456651136985</v>
      </c>
      <c r="J481" s="605">
        <f t="shared" si="106"/>
        <v>17452.925749948237</v>
      </c>
      <c r="K481" s="605">
        <f t="shared" si="106"/>
        <v>17443.210379520278</v>
      </c>
      <c r="L481" s="605">
        <f t="shared" si="106"/>
        <v>17888.130448231368</v>
      </c>
      <c r="M481" s="605">
        <f t="shared" si="106"/>
        <v>18344.111075055709</v>
      </c>
    </row>
    <row r="482" spans="1:13" outlineLevel="1">
      <c r="A482" s="119"/>
      <c r="B482" s="373"/>
      <c r="C482" s="373"/>
      <c r="D482" s="373"/>
      <c r="E482" s="373"/>
      <c r="F482" s="373"/>
      <c r="G482" s="373"/>
      <c r="H482" s="373"/>
      <c r="I482" s="378"/>
      <c r="J482" s="378"/>
      <c r="K482" s="378"/>
      <c r="L482" s="378"/>
      <c r="M482" s="378"/>
    </row>
    <row r="483" spans="1:13" outlineLevel="1">
      <c r="A483" s="119"/>
      <c r="B483" s="374" t="s">
        <v>477</v>
      </c>
      <c r="C483" s="373"/>
      <c r="D483" s="373"/>
      <c r="E483" s="373"/>
      <c r="F483" s="382">
        <v>-1330</v>
      </c>
      <c r="G483" s="382">
        <v>-1539</v>
      </c>
      <c r="H483" s="382">
        <v>-1618</v>
      </c>
      <c r="I483" s="407">
        <f>I455</f>
        <v>-1677.7080000000001</v>
      </c>
      <c r="J483" s="407">
        <f>J455</f>
        <v>-1644.1538399999999</v>
      </c>
      <c r="K483" s="407">
        <f>K455</f>
        <v>-1627.7123016</v>
      </c>
      <c r="L483" s="407">
        <f>L455</f>
        <v>-1627.7123016</v>
      </c>
      <c r="M483" s="407">
        <f>M455</f>
        <v>-1643.989424616</v>
      </c>
    </row>
    <row r="484" spans="1:13" outlineLevel="1">
      <c r="A484" s="119"/>
      <c r="B484" s="374" t="s">
        <v>478</v>
      </c>
      <c r="C484" s="373"/>
      <c r="D484" s="373"/>
      <c r="E484" s="373"/>
      <c r="F484" s="382">
        <v>193</v>
      </c>
      <c r="G484" s="382">
        <v>273</v>
      </c>
      <c r="H484" s="382">
        <v>205</v>
      </c>
      <c r="I484" s="407">
        <f>I454</f>
        <v>155.75</v>
      </c>
      <c r="J484" s="407">
        <f>J454</f>
        <v>146.53181045001836</v>
      </c>
      <c r="K484" s="407">
        <f>K454</f>
        <v>160.27943017990162</v>
      </c>
      <c r="L484" s="407">
        <f>L454</f>
        <v>186.4186992372837</v>
      </c>
      <c r="M484" s="407">
        <f>M454</f>
        <v>230.47886572512044</v>
      </c>
    </row>
    <row r="485" spans="1:13" outlineLevel="1">
      <c r="A485" s="119"/>
      <c r="B485" s="374" t="s">
        <v>479</v>
      </c>
      <c r="C485" s="373"/>
      <c r="D485" s="373"/>
      <c r="E485" s="373"/>
      <c r="F485" s="382">
        <v>-2801</v>
      </c>
      <c r="G485" s="382">
        <v>-2411</v>
      </c>
      <c r="H485" s="382">
        <v>-2298</v>
      </c>
      <c r="I485" s="407">
        <f>-I138*I19</f>
        <v>-2423.3371507229999</v>
      </c>
      <c r="J485" s="407">
        <f>-J138*J19</f>
        <v>-2530.3826554033953</v>
      </c>
      <c r="K485" s="407">
        <f>-K138*K19</f>
        <v>-2497.9539858183502</v>
      </c>
      <c r="L485" s="407">
        <f>-L138*L19</f>
        <v>-2654.9828795596472</v>
      </c>
      <c r="M485" s="407">
        <f>-M138*M19</f>
        <v>-2827.1548956136226</v>
      </c>
    </row>
    <row r="486" spans="1:13" outlineLevel="1">
      <c r="A486" s="119"/>
      <c r="B486" s="374" t="s">
        <v>480</v>
      </c>
      <c r="C486" s="373"/>
      <c r="D486" s="373"/>
      <c r="E486" s="373"/>
      <c r="F486" s="382">
        <v>699</v>
      </c>
      <c r="G486" s="382">
        <v>759</v>
      </c>
      <c r="H486" s="382">
        <v>2754</v>
      </c>
      <c r="I486" s="407">
        <f>I346</f>
        <v>786.24</v>
      </c>
      <c r="J486" s="407">
        <f>J346</f>
        <v>749.22300000000007</v>
      </c>
      <c r="K486" s="407">
        <f>K346</f>
        <v>777.73251600000003</v>
      </c>
      <c r="L486" s="407">
        <f>L346</f>
        <v>807.46997687999999</v>
      </c>
      <c r="M486" s="407">
        <f>M346</f>
        <v>839.24326069920005</v>
      </c>
    </row>
    <row r="487" spans="1:13" outlineLevel="1">
      <c r="A487" s="119"/>
      <c r="B487" s="598" t="s">
        <v>481</v>
      </c>
      <c r="C487" s="373"/>
      <c r="D487" s="373"/>
      <c r="E487" s="373"/>
      <c r="F487" s="604">
        <f t="shared" ref="F487:M487" si="107">F481+F483+F484+F485+F486</f>
        <v>15941</v>
      </c>
      <c r="G487" s="604">
        <f t="shared" si="107"/>
        <v>16675</v>
      </c>
      <c r="H487" s="604">
        <f t="shared" si="107"/>
        <v>15904</v>
      </c>
      <c r="I487" s="605">
        <f t="shared" si="107"/>
        <v>13733.401500413984</v>
      </c>
      <c r="J487" s="605">
        <f t="shared" si="107"/>
        <v>14174.144064994862</v>
      </c>
      <c r="K487" s="605">
        <f t="shared" si="107"/>
        <v>14255.556038281829</v>
      </c>
      <c r="L487" s="605">
        <f t="shared" si="107"/>
        <v>14599.323943189005</v>
      </c>
      <c r="M487" s="605">
        <f t="shared" si="107"/>
        <v>14942.688881250406</v>
      </c>
    </row>
    <row r="488" spans="1:13" outlineLevel="1">
      <c r="A488" s="119"/>
      <c r="B488" s="373"/>
      <c r="C488" s="373"/>
      <c r="D488" s="373"/>
      <c r="E488" s="373"/>
      <c r="F488" s="373"/>
      <c r="G488" s="373"/>
      <c r="H488" s="373"/>
      <c r="I488" s="378"/>
      <c r="J488" s="378"/>
      <c r="K488" s="378"/>
      <c r="L488" s="378"/>
      <c r="M488" s="378"/>
    </row>
    <row r="489" spans="1:13" outlineLevel="1">
      <c r="A489" s="119"/>
      <c r="B489" s="606" t="s">
        <v>482</v>
      </c>
      <c r="C489" s="607"/>
      <c r="D489" s="607"/>
      <c r="E489" s="607"/>
      <c r="F489" s="607"/>
      <c r="G489" s="607"/>
      <c r="H489" s="607"/>
      <c r="I489" s="608"/>
      <c r="J489" s="608"/>
      <c r="K489" s="608"/>
      <c r="L489" s="608"/>
      <c r="M489" s="608"/>
    </row>
    <row r="490" spans="1:13" outlineLevel="1">
      <c r="A490" s="119"/>
      <c r="B490" s="374" t="s">
        <v>483</v>
      </c>
      <c r="C490" s="373"/>
      <c r="D490" s="373"/>
      <c r="E490" s="373"/>
      <c r="F490" s="382">
        <v>-5714</v>
      </c>
      <c r="G490" s="382">
        <v>-5638</v>
      </c>
      <c r="H490" s="382">
        <v>-4527</v>
      </c>
      <c r="I490" s="407">
        <f>I75</f>
        <v>-4406.93505</v>
      </c>
      <c r="J490" s="407">
        <f>J75</f>
        <v>-4381.7525639999994</v>
      </c>
      <c r="K490" s="407">
        <f>K75</f>
        <v>-4403.661326819999</v>
      </c>
      <c r="L490" s="407">
        <f>L75</f>
        <v>-4398.1567501614745</v>
      </c>
      <c r="M490" s="407">
        <f>M75</f>
        <v>-4521.3051391659956</v>
      </c>
    </row>
    <row r="491" spans="1:13" outlineLevel="1">
      <c r="A491" s="119"/>
      <c r="B491" s="374" t="s">
        <v>125</v>
      </c>
      <c r="C491" s="373"/>
      <c r="D491" s="373"/>
      <c r="E491" s="373"/>
      <c r="F491" s="382">
        <v>-489</v>
      </c>
      <c r="G491" s="382">
        <v>-325</v>
      </c>
      <c r="H491" s="382">
        <v>-384</v>
      </c>
      <c r="I491" s="407">
        <f>I78</f>
        <v>-359.74979999999999</v>
      </c>
      <c r="J491" s="407">
        <f>J78</f>
        <v>-365.14604699999995</v>
      </c>
      <c r="K491" s="407">
        <f>K78</f>
        <v>-366.97177723499993</v>
      </c>
      <c r="L491" s="407">
        <f>L78</f>
        <v>-421.10011437716241</v>
      </c>
      <c r="M491" s="407">
        <f>M78</f>
        <v>-432.89091757972295</v>
      </c>
    </row>
    <row r="492" spans="1:13" outlineLevel="1">
      <c r="A492" s="119"/>
      <c r="B492" s="374" t="s">
        <v>484</v>
      </c>
      <c r="C492" s="373"/>
      <c r="D492" s="373"/>
      <c r="E492" s="373"/>
      <c r="F492" s="382">
        <v>-211</v>
      </c>
      <c r="G492" s="382">
        <v>-809</v>
      </c>
      <c r="H492" s="382">
        <v>-75</v>
      </c>
      <c r="I492" s="412">
        <v>0</v>
      </c>
      <c r="J492" s="412">
        <v>0</v>
      </c>
      <c r="K492" s="412">
        <v>0</v>
      </c>
      <c r="L492" s="412">
        <v>0</v>
      </c>
      <c r="M492" s="412">
        <v>0</v>
      </c>
    </row>
    <row r="493" spans="1:13" outlineLevel="1">
      <c r="A493" s="119"/>
      <c r="B493" s="374" t="s">
        <v>485</v>
      </c>
      <c r="C493" s="373"/>
      <c r="D493" s="373"/>
      <c r="E493" s="373"/>
      <c r="F493" s="382">
        <v>215</v>
      </c>
      <c r="G493" s="382">
        <v>-23</v>
      </c>
      <c r="H493" s="382">
        <v>-81</v>
      </c>
      <c r="I493" s="412">
        <v>0</v>
      </c>
      <c r="J493" s="412">
        <v>0</v>
      </c>
      <c r="K493" s="412">
        <v>0</v>
      </c>
      <c r="L493" s="412">
        <v>0</v>
      </c>
      <c r="M493" s="412">
        <v>0</v>
      </c>
    </row>
    <row r="494" spans="1:13" outlineLevel="1">
      <c r="A494" s="119"/>
      <c r="B494" s="374" t="s">
        <v>420</v>
      </c>
      <c r="C494" s="373"/>
      <c r="D494" s="373"/>
      <c r="E494" s="373"/>
      <c r="F494" s="382">
        <v>-582</v>
      </c>
      <c r="G494" s="382">
        <v>-532</v>
      </c>
      <c r="H494" s="382">
        <v>208</v>
      </c>
      <c r="I494" s="412">
        <v>0</v>
      </c>
      <c r="J494" s="412">
        <v>0</v>
      </c>
      <c r="K494" s="412">
        <v>0</v>
      </c>
      <c r="L494" s="412">
        <v>0</v>
      </c>
      <c r="M494" s="412">
        <v>0</v>
      </c>
    </row>
    <row r="495" spans="1:13" outlineLevel="1">
      <c r="A495" s="119"/>
      <c r="B495" s="374" t="s">
        <v>486</v>
      </c>
      <c r="C495" s="373"/>
      <c r="D495" s="373"/>
      <c r="E495" s="373"/>
      <c r="F495" s="382">
        <v>-80</v>
      </c>
      <c r="G495" s="382">
        <v>-1251</v>
      </c>
      <c r="H495" s="382">
        <v>424</v>
      </c>
      <c r="I495" s="412">
        <v>0</v>
      </c>
      <c r="J495" s="412">
        <v>0</v>
      </c>
      <c r="K495" s="412">
        <v>0</v>
      </c>
      <c r="L495" s="412">
        <v>0</v>
      </c>
      <c r="M495" s="412">
        <v>0</v>
      </c>
    </row>
    <row r="496" spans="1:13" outlineLevel="1">
      <c r="A496" s="119"/>
      <c r="B496" s="374" t="s">
        <v>487</v>
      </c>
      <c r="C496" s="373"/>
      <c r="D496" s="373"/>
      <c r="E496" s="373"/>
      <c r="F496" s="382">
        <v>0</v>
      </c>
      <c r="G496" s="382">
        <v>0</v>
      </c>
      <c r="H496" s="382">
        <v>-70</v>
      </c>
      <c r="I496" s="412">
        <v>0</v>
      </c>
      <c r="J496" s="412">
        <v>0</v>
      </c>
      <c r="K496" s="412">
        <v>0</v>
      </c>
      <c r="L496" s="412">
        <v>0</v>
      </c>
      <c r="M496" s="412">
        <v>0</v>
      </c>
    </row>
    <row r="497" spans="1:13" outlineLevel="1">
      <c r="A497" s="119"/>
      <c r="B497" s="374" t="s">
        <v>488</v>
      </c>
      <c r="C497" s="373"/>
      <c r="D497" s="373"/>
      <c r="E497" s="373"/>
      <c r="F497" s="382">
        <v>665</v>
      </c>
      <c r="G497" s="382">
        <v>-46</v>
      </c>
      <c r="H497" s="382">
        <v>138</v>
      </c>
      <c r="I497" s="412">
        <v>0</v>
      </c>
      <c r="J497" s="412">
        <v>0</v>
      </c>
      <c r="K497" s="412">
        <v>0</v>
      </c>
      <c r="L497" s="412">
        <v>0</v>
      </c>
      <c r="M497" s="412">
        <v>0</v>
      </c>
    </row>
    <row r="498" spans="1:13" outlineLevel="1">
      <c r="A498" s="119"/>
      <c r="B498" s="598" t="s">
        <v>489</v>
      </c>
      <c r="C498" s="373"/>
      <c r="D498" s="373"/>
      <c r="E498" s="373"/>
      <c r="F498" s="604">
        <f t="shared" ref="F498:M498" si="108">F490+F491+F492+F493+F494+F495+F496+F497</f>
        <v>-6196</v>
      </c>
      <c r="G498" s="604">
        <f t="shared" si="108"/>
        <v>-8624</v>
      </c>
      <c r="H498" s="604">
        <f t="shared" si="108"/>
        <v>-4367</v>
      </c>
      <c r="I498" s="605">
        <f t="shared" si="108"/>
        <v>-4766.6848499999996</v>
      </c>
      <c r="J498" s="605">
        <f t="shared" si="108"/>
        <v>-4746.8986109999996</v>
      </c>
      <c r="K498" s="605">
        <f t="shared" si="108"/>
        <v>-4770.6331040549985</v>
      </c>
      <c r="L498" s="605">
        <f t="shared" si="108"/>
        <v>-4819.2568645386373</v>
      </c>
      <c r="M498" s="605">
        <f t="shared" si="108"/>
        <v>-4954.1960567457181</v>
      </c>
    </row>
    <row r="499" spans="1:13" outlineLevel="1">
      <c r="A499" s="119"/>
      <c r="B499" s="373"/>
      <c r="C499" s="373"/>
      <c r="D499" s="373"/>
      <c r="E499" s="373"/>
      <c r="F499" s="373"/>
      <c r="G499" s="373"/>
      <c r="H499" s="373"/>
      <c r="I499" s="378"/>
      <c r="J499" s="378"/>
      <c r="K499" s="378"/>
      <c r="L499" s="378"/>
      <c r="M499" s="378"/>
    </row>
    <row r="500" spans="1:13" outlineLevel="1">
      <c r="A500" s="119"/>
      <c r="B500" s="606" t="s">
        <v>490</v>
      </c>
      <c r="C500" s="607"/>
      <c r="D500" s="607"/>
      <c r="E500" s="607"/>
      <c r="F500" s="607"/>
      <c r="G500" s="607"/>
      <c r="H500" s="607"/>
      <c r="I500" s="608"/>
      <c r="J500" s="608"/>
      <c r="K500" s="608"/>
      <c r="L500" s="608"/>
      <c r="M500" s="608"/>
    </row>
    <row r="501" spans="1:13" outlineLevel="1">
      <c r="A501" s="119"/>
      <c r="B501" s="374" t="s">
        <v>491</v>
      </c>
      <c r="C501" s="373"/>
      <c r="D501" s="373"/>
      <c r="E501" s="373"/>
      <c r="F501" s="382">
        <v>-7829</v>
      </c>
      <c r="G501" s="382">
        <v>-7816</v>
      </c>
      <c r="H501" s="382">
        <v>-7849</v>
      </c>
      <c r="I501" s="407">
        <f>I417</f>
        <v>-8000.5355018257515</v>
      </c>
      <c r="J501" s="407">
        <f>J417</f>
        <v>-8124.8249906480596</v>
      </c>
      <c r="K501" s="407">
        <f>K417</f>
        <v>-8254.554235259664</v>
      </c>
      <c r="L501" s="407">
        <f>L417</f>
        <v>-8383.0564121875686</v>
      </c>
      <c r="M501" s="407">
        <f>M417</f>
        <v>-8511.9646619492723</v>
      </c>
    </row>
    <row r="502" spans="1:13" outlineLevel="1">
      <c r="A502" s="119"/>
      <c r="B502" s="374" t="s">
        <v>492</v>
      </c>
      <c r="C502" s="373"/>
      <c r="D502" s="373"/>
      <c r="E502" s="373"/>
      <c r="F502" s="382">
        <v>-323</v>
      </c>
      <c r="G502" s="382">
        <v>-174</v>
      </c>
      <c r="H502" s="382">
        <v>-172</v>
      </c>
      <c r="I502" s="407">
        <f>I425</f>
        <v>-177.86873058750004</v>
      </c>
      <c r="J502" s="407">
        <f>J425</f>
        <v>-185.56607415147226</v>
      </c>
      <c r="K502" s="407">
        <f>K425</f>
        <v>-184.79793667188289</v>
      </c>
      <c r="L502" s="407">
        <f>L425</f>
        <v>-195.88411094933102</v>
      </c>
      <c r="M502" s="407">
        <f>M425</f>
        <v>-207.20459254988495</v>
      </c>
    </row>
    <row r="503" spans="1:13" outlineLevel="1">
      <c r="A503" s="119"/>
      <c r="B503" s="374" t="s">
        <v>493</v>
      </c>
      <c r="C503" s="373"/>
      <c r="D503" s="373"/>
      <c r="E503" s="373"/>
      <c r="F503" s="382">
        <v>-52</v>
      </c>
      <c r="G503" s="382">
        <v>-27</v>
      </c>
      <c r="H503" s="382">
        <v>-1190</v>
      </c>
      <c r="I503" s="412">
        <v>0</v>
      </c>
      <c r="J503" s="412">
        <v>0</v>
      </c>
      <c r="K503" s="412">
        <v>0</v>
      </c>
      <c r="L503" s="412">
        <v>0</v>
      </c>
      <c r="M503" s="412">
        <v>0</v>
      </c>
    </row>
    <row r="504" spans="1:13" outlineLevel="1">
      <c r="A504" s="119"/>
      <c r="B504" s="374" t="s">
        <v>494</v>
      </c>
      <c r="C504" s="373"/>
      <c r="D504" s="373"/>
      <c r="E504" s="373"/>
      <c r="F504" s="382">
        <v>-5234</v>
      </c>
      <c r="G504" s="382">
        <v>-4678</v>
      </c>
      <c r="H504" s="382">
        <v>-213</v>
      </c>
      <c r="I504" s="407">
        <f>-I31</f>
        <v>0</v>
      </c>
      <c r="J504" s="407">
        <f>-J31</f>
        <v>0</v>
      </c>
      <c r="K504" s="407">
        <f>-K31</f>
        <v>0</v>
      </c>
      <c r="L504" s="407">
        <f>-L31</f>
        <v>0</v>
      </c>
      <c r="M504" s="407">
        <f>-M31</f>
        <v>-2000</v>
      </c>
    </row>
    <row r="505" spans="1:13" outlineLevel="1">
      <c r="A505" s="119"/>
      <c r="B505" s="374" t="s">
        <v>495</v>
      </c>
      <c r="C505" s="373"/>
      <c r="D505" s="373"/>
      <c r="E505" s="373"/>
      <c r="F505" s="382">
        <v>9806</v>
      </c>
      <c r="G505" s="382">
        <v>7992</v>
      </c>
      <c r="H505" s="382">
        <v>2803</v>
      </c>
      <c r="I505" s="412">
        <v>0</v>
      </c>
      <c r="J505" s="412">
        <v>0</v>
      </c>
      <c r="K505" s="412">
        <v>0</v>
      </c>
      <c r="L505" s="412">
        <v>0</v>
      </c>
      <c r="M505" s="412">
        <v>0</v>
      </c>
    </row>
    <row r="506" spans="1:13" outlineLevel="1">
      <c r="A506" s="119"/>
      <c r="B506" s="374" t="s">
        <v>496</v>
      </c>
      <c r="C506" s="373"/>
      <c r="D506" s="373"/>
      <c r="E506" s="373"/>
      <c r="F506" s="382">
        <v>-3589</v>
      </c>
      <c r="G506" s="382">
        <v>-5055</v>
      </c>
      <c r="H506" s="382">
        <v>-4408</v>
      </c>
      <c r="I506" s="412">
        <v>0</v>
      </c>
      <c r="J506" s="412">
        <v>0</v>
      </c>
      <c r="K506" s="412">
        <v>0</v>
      </c>
      <c r="L506" s="412">
        <v>0</v>
      </c>
      <c r="M506" s="412">
        <v>0</v>
      </c>
    </row>
    <row r="507" spans="1:13" outlineLevel="1">
      <c r="A507" s="119"/>
      <c r="B507" s="374" t="s">
        <v>497</v>
      </c>
      <c r="C507" s="373"/>
      <c r="D507" s="373"/>
      <c r="E507" s="373"/>
      <c r="F507" s="382">
        <v>-2537</v>
      </c>
      <c r="G507" s="382">
        <v>2396</v>
      </c>
      <c r="H507" s="382">
        <v>-1036</v>
      </c>
      <c r="I507" s="407">
        <f>I367</f>
        <v>-1157.04</v>
      </c>
      <c r="J507" s="407">
        <f>J367</f>
        <v>-566.94960000000003</v>
      </c>
      <c r="K507" s="407">
        <f>K367</f>
        <v>0</v>
      </c>
      <c r="L507" s="407">
        <f>L367</f>
        <v>561.28010400000005</v>
      </c>
      <c r="M507" s="407">
        <f>M367</f>
        <v>566.89290503999996</v>
      </c>
    </row>
    <row r="508" spans="1:13" outlineLevel="1">
      <c r="A508" s="119"/>
      <c r="B508" s="374" t="s">
        <v>498</v>
      </c>
      <c r="C508" s="373"/>
      <c r="D508" s="373"/>
      <c r="E508" s="373"/>
      <c r="F508" s="382">
        <v>0</v>
      </c>
      <c r="G508" s="382">
        <v>0</v>
      </c>
      <c r="H508" s="382">
        <v>0</v>
      </c>
      <c r="I508" s="407">
        <f>I395</f>
        <v>0</v>
      </c>
      <c r="J508" s="407">
        <f>J395</f>
        <v>0</v>
      </c>
      <c r="K508" s="407">
        <f>K395</f>
        <v>0</v>
      </c>
      <c r="L508" s="407">
        <f>L395</f>
        <v>0</v>
      </c>
      <c r="M508" s="407">
        <f>M395</f>
        <v>0</v>
      </c>
    </row>
    <row r="509" spans="1:13" outlineLevel="1">
      <c r="A509" s="119"/>
      <c r="B509" s="598" t="s">
        <v>499</v>
      </c>
      <c r="C509" s="373"/>
      <c r="D509" s="373"/>
      <c r="E509" s="373"/>
      <c r="F509" s="604">
        <f t="shared" ref="F509:M509" si="109">SUM(F501:F508)</f>
        <v>-9758</v>
      </c>
      <c r="G509" s="604">
        <f t="shared" si="109"/>
        <v>-7362</v>
      </c>
      <c r="H509" s="604">
        <f t="shared" si="109"/>
        <v>-12065</v>
      </c>
      <c r="I509" s="605">
        <f t="shared" si="109"/>
        <v>-9335.4442324132506</v>
      </c>
      <c r="J509" s="605">
        <f t="shared" si="109"/>
        <v>-8877.3406647995325</v>
      </c>
      <c r="K509" s="605">
        <f t="shared" si="109"/>
        <v>-8439.3521719315468</v>
      </c>
      <c r="L509" s="605">
        <f t="shared" si="109"/>
        <v>-8017.6604191368997</v>
      </c>
      <c r="M509" s="605">
        <f t="shared" si="109"/>
        <v>-10152.276349459156</v>
      </c>
    </row>
    <row r="510" spans="1:13" outlineLevel="1">
      <c r="A510" s="119"/>
      <c r="B510" s="373"/>
      <c r="C510" s="373"/>
      <c r="D510" s="373"/>
      <c r="E510" s="373"/>
      <c r="F510" s="373"/>
      <c r="G510" s="373"/>
      <c r="H510" s="373"/>
      <c r="I510" s="378"/>
      <c r="J510" s="378"/>
      <c r="K510" s="378"/>
      <c r="L510" s="378"/>
      <c r="M510" s="378"/>
    </row>
    <row r="511" spans="1:13" outlineLevel="1">
      <c r="A511" s="119"/>
      <c r="B511" s="374" t="s">
        <v>439</v>
      </c>
      <c r="C511" s="373"/>
      <c r="D511" s="373"/>
      <c r="E511" s="373"/>
      <c r="F511" s="382">
        <v>-682</v>
      </c>
      <c r="G511" s="382">
        <v>53</v>
      </c>
      <c r="H511" s="382">
        <v>-435</v>
      </c>
      <c r="I511" s="412">
        <v>0</v>
      </c>
      <c r="J511" s="412">
        <v>0</v>
      </c>
      <c r="K511" s="412">
        <v>0</v>
      </c>
      <c r="L511" s="412">
        <v>0</v>
      </c>
      <c r="M511" s="412">
        <v>0</v>
      </c>
    </row>
    <row r="512" spans="1:13" outlineLevel="1">
      <c r="A512" s="119"/>
      <c r="B512" s="598" t="s">
        <v>500</v>
      </c>
      <c r="C512" s="373"/>
      <c r="D512" s="373"/>
      <c r="E512" s="373"/>
      <c r="F512" s="604">
        <f t="shared" ref="F512:M512" si="110">F487+F498+F509+F511</f>
        <v>-695</v>
      </c>
      <c r="G512" s="604">
        <f t="shared" si="110"/>
        <v>742</v>
      </c>
      <c r="H512" s="604">
        <f t="shared" si="110"/>
        <v>-963</v>
      </c>
      <c r="I512" s="605">
        <f t="shared" si="110"/>
        <v>-368.72758199926648</v>
      </c>
      <c r="J512" s="605">
        <f t="shared" si="110"/>
        <v>549.90478919533052</v>
      </c>
      <c r="K512" s="605">
        <f t="shared" si="110"/>
        <v>1045.5707622952832</v>
      </c>
      <c r="L512" s="605">
        <f t="shared" si="110"/>
        <v>1762.4066595134691</v>
      </c>
      <c r="M512" s="605">
        <f t="shared" si="110"/>
        <v>-163.78352495446961</v>
      </c>
    </row>
    <row r="513" spans="1:14" outlineLevel="1">
      <c r="A513" s="119"/>
      <c r="B513" s="373"/>
      <c r="C513" s="373"/>
      <c r="D513" s="373"/>
      <c r="E513" s="373"/>
      <c r="F513" s="373"/>
      <c r="G513" s="373"/>
      <c r="H513" s="373"/>
      <c r="I513" s="378"/>
      <c r="J513" s="378"/>
      <c r="K513" s="378"/>
      <c r="L513" s="378"/>
      <c r="M513" s="378"/>
    </row>
    <row r="514" spans="1:14" outlineLevel="1">
      <c r="A514" s="119"/>
      <c r="B514" s="374" t="s">
        <v>501</v>
      </c>
      <c r="C514" s="373"/>
      <c r="D514" s="373"/>
      <c r="E514" s="373"/>
      <c r="F514" s="382">
        <v>5511</v>
      </c>
      <c r="G514" s="382">
        <v>4816</v>
      </c>
      <c r="H514" s="382">
        <v>5558</v>
      </c>
      <c r="I514" s="407">
        <f>H517</f>
        <v>4579</v>
      </c>
      <c r="J514" s="407">
        <f>I517</f>
        <v>4210.2724180007335</v>
      </c>
      <c r="K514" s="407">
        <f>J517</f>
        <v>4760.177207196064</v>
      </c>
      <c r="L514" s="407">
        <f>K517</f>
        <v>5805.7479694913472</v>
      </c>
      <c r="M514" s="407">
        <f>L517</f>
        <v>7568.1546290048163</v>
      </c>
    </row>
    <row r="515" spans="1:14" outlineLevel="1">
      <c r="A515" s="119"/>
      <c r="B515" s="598" t="s">
        <v>502</v>
      </c>
      <c r="C515" s="373"/>
      <c r="D515" s="373"/>
      <c r="E515" s="373"/>
      <c r="F515" s="604">
        <f t="shared" ref="F515:M515" si="111">F514+F512</f>
        <v>4816</v>
      </c>
      <c r="G515" s="604">
        <f t="shared" si="111"/>
        <v>5558</v>
      </c>
      <c r="H515" s="604">
        <f t="shared" si="111"/>
        <v>4595</v>
      </c>
      <c r="I515" s="605">
        <f t="shared" si="111"/>
        <v>4210.2724180007335</v>
      </c>
      <c r="J515" s="605">
        <f t="shared" si="111"/>
        <v>4760.177207196064</v>
      </c>
      <c r="K515" s="605">
        <f t="shared" si="111"/>
        <v>5805.7479694913472</v>
      </c>
      <c r="L515" s="605">
        <f t="shared" si="111"/>
        <v>7568.1546290048163</v>
      </c>
      <c r="M515" s="605">
        <f t="shared" si="111"/>
        <v>7404.3711040503467</v>
      </c>
    </row>
    <row r="516" spans="1:14" outlineLevel="1">
      <c r="A516" s="119"/>
      <c r="B516" s="374" t="s">
        <v>503</v>
      </c>
      <c r="C516" s="373"/>
      <c r="D516" s="373"/>
      <c r="E516" s="373"/>
      <c r="F516" s="382">
        <v>0</v>
      </c>
      <c r="G516" s="382">
        <v>-2</v>
      </c>
      <c r="H516" s="382">
        <v>-16</v>
      </c>
      <c r="I516" s="609">
        <v>0</v>
      </c>
      <c r="J516" s="609">
        <v>0</v>
      </c>
      <c r="K516" s="609">
        <v>0</v>
      </c>
      <c r="L516" s="609">
        <v>0</v>
      </c>
      <c r="M516" s="609">
        <v>0</v>
      </c>
    </row>
    <row r="517" spans="1:14" outlineLevel="1">
      <c r="A517" s="119"/>
      <c r="B517" s="598" t="s">
        <v>504</v>
      </c>
      <c r="C517" s="373"/>
      <c r="D517" s="373"/>
      <c r="E517" s="373"/>
      <c r="F517" s="604">
        <f t="shared" ref="F517:M517" si="112">F515+F516</f>
        <v>4816</v>
      </c>
      <c r="G517" s="604">
        <f t="shared" si="112"/>
        <v>5556</v>
      </c>
      <c r="H517" s="604">
        <f t="shared" si="112"/>
        <v>4579</v>
      </c>
      <c r="I517" s="604">
        <f t="shared" si="112"/>
        <v>4210.2724180007335</v>
      </c>
      <c r="J517" s="604">
        <f t="shared" si="112"/>
        <v>4760.177207196064</v>
      </c>
      <c r="K517" s="604">
        <f t="shared" si="112"/>
        <v>5805.7479694913472</v>
      </c>
      <c r="L517" s="604">
        <f t="shared" si="112"/>
        <v>7568.1546290048163</v>
      </c>
      <c r="M517" s="604">
        <f t="shared" si="112"/>
        <v>7404.3711040503467</v>
      </c>
    </row>
    <row r="518" spans="1:14" outlineLevel="1">
      <c r="A518" s="119"/>
      <c r="B518" s="398"/>
      <c r="C518" s="381"/>
      <c r="D518" s="381"/>
      <c r="E518" s="381"/>
      <c r="F518" s="399"/>
      <c r="G518" s="399"/>
      <c r="H518" s="399"/>
      <c r="I518" s="392"/>
      <c r="J518" s="392"/>
      <c r="K518" s="392"/>
      <c r="L518" s="392"/>
      <c r="M518" s="392"/>
    </row>
    <row r="519" spans="1:14">
      <c r="A519" s="119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</row>
    <row r="520" spans="1:14">
      <c r="A520" s="119" t="s">
        <v>26</v>
      </c>
      <c r="B520" s="364" t="s">
        <v>505</v>
      </c>
      <c r="C520" s="364"/>
      <c r="D520" s="364"/>
      <c r="E520" s="364"/>
      <c r="F520" s="364"/>
      <c r="G520" s="364"/>
      <c r="H520" s="364"/>
      <c r="I520" s="364"/>
      <c r="J520" s="364"/>
      <c r="K520" s="364"/>
      <c r="L520" s="364"/>
      <c r="M520" s="364"/>
      <c r="N520" s="364"/>
    </row>
    <row r="521" spans="1:14" outlineLevel="1">
      <c r="A521" s="119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</row>
    <row r="522" spans="1:14" ht="17.399999999999999" customHeight="1" outlineLevel="1" thickBot="1">
      <c r="A522" s="118"/>
      <c r="B522" s="369" t="str">
        <f>Input!$B$8</f>
        <v>All figures in CHF millions unless stated</v>
      </c>
      <c r="C522" s="368"/>
      <c r="D522" s="368"/>
      <c r="E522" s="368"/>
      <c r="F522" s="370">
        <f t="shared" ref="F522:M522" si="113">F$2</f>
        <v>2023</v>
      </c>
      <c r="G522" s="370">
        <f t="shared" si="113"/>
        <v>2024</v>
      </c>
      <c r="H522" s="370">
        <f t="shared" si="113"/>
        <v>2025</v>
      </c>
      <c r="I522" s="371">
        <f t="shared" si="113"/>
        <v>2026</v>
      </c>
      <c r="J522" s="371">
        <f t="shared" si="113"/>
        <v>2027</v>
      </c>
      <c r="K522" s="371">
        <f t="shared" si="113"/>
        <v>2028</v>
      </c>
      <c r="L522" s="371">
        <f t="shared" si="113"/>
        <v>2029</v>
      </c>
      <c r="M522" s="371">
        <f t="shared" si="113"/>
        <v>2030</v>
      </c>
    </row>
    <row r="523" spans="1:14" ht="17.399999999999999" customHeight="1" outlineLevel="1" thickTop="1">
      <c r="A523" s="118"/>
      <c r="B523" s="369" t="str">
        <f>CONCATENATE("Model Running: ",INDEX(Input!$B$12:$B$14,Input!$D$6)," Drivers")</f>
        <v>Model Running: Base Case Drivers</v>
      </c>
      <c r="C523" s="368"/>
      <c r="D523" s="368"/>
      <c r="E523" s="368"/>
      <c r="F523" s="368"/>
      <c r="G523" s="368"/>
      <c r="H523" s="368"/>
      <c r="I523" s="368"/>
      <c r="J523" s="368"/>
      <c r="K523" s="368"/>
      <c r="L523" s="368"/>
      <c r="M523" s="368"/>
    </row>
    <row r="524" spans="1:14" outlineLevel="1">
      <c r="A524" s="119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</row>
    <row r="525" spans="1:14" outlineLevel="1">
      <c r="A525" s="119"/>
      <c r="B525" s="606" t="s">
        <v>506</v>
      </c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</row>
    <row r="526" spans="1:14" outlineLevel="1">
      <c r="A526" s="119"/>
      <c r="B526" s="374" t="s">
        <v>507</v>
      </c>
      <c r="C526" s="373"/>
      <c r="D526" s="373"/>
      <c r="E526" s="373"/>
      <c r="F526" s="389">
        <f t="shared" ref="F526:M526" si="114">F517</f>
        <v>4816</v>
      </c>
      <c r="G526" s="389">
        <f t="shared" si="114"/>
        <v>5556</v>
      </c>
      <c r="H526" s="389">
        <f t="shared" si="114"/>
        <v>4579</v>
      </c>
      <c r="I526" s="389">
        <f t="shared" si="114"/>
        <v>4210.2724180007335</v>
      </c>
      <c r="J526" s="389">
        <f t="shared" si="114"/>
        <v>4760.177207196064</v>
      </c>
      <c r="K526" s="389">
        <f t="shared" si="114"/>
        <v>5805.7479694913472</v>
      </c>
      <c r="L526" s="389">
        <f t="shared" si="114"/>
        <v>7568.1546290048163</v>
      </c>
      <c r="M526" s="389">
        <f t="shared" si="114"/>
        <v>7404.3711040503467</v>
      </c>
    </row>
    <row r="527" spans="1:14" outlineLevel="1">
      <c r="A527" s="119"/>
      <c r="B527" s="374" t="s">
        <v>508</v>
      </c>
      <c r="C527" s="373"/>
      <c r="D527" s="373"/>
      <c r="E527" s="373"/>
      <c r="F527" s="382">
        <v>1035</v>
      </c>
      <c r="G527" s="382">
        <v>2315</v>
      </c>
      <c r="H527" s="382">
        <v>1651</v>
      </c>
      <c r="I527" s="389">
        <f>H527</f>
        <v>1651</v>
      </c>
      <c r="J527" s="389">
        <f>I527</f>
        <v>1651</v>
      </c>
      <c r="K527" s="389">
        <f>J527</f>
        <v>1651</v>
      </c>
      <c r="L527" s="389">
        <f>K527</f>
        <v>1651</v>
      </c>
      <c r="M527" s="389">
        <f>L527</f>
        <v>1651</v>
      </c>
    </row>
    <row r="528" spans="1:14" outlineLevel="1">
      <c r="A528" s="119"/>
      <c r="B528" s="374" t="s">
        <v>509</v>
      </c>
      <c r="C528" s="373"/>
      <c r="D528" s="373"/>
      <c r="E528" s="373"/>
      <c r="F528" s="382">
        <v>11896</v>
      </c>
      <c r="G528" s="382">
        <v>13260</v>
      </c>
      <c r="H528" s="382">
        <v>12813</v>
      </c>
      <c r="I528" s="389">
        <f>I53</f>
        <v>12418.185488383562</v>
      </c>
      <c r="J528" s="389">
        <f>J53</f>
        <v>12378.848608259381</v>
      </c>
      <c r="K528" s="389">
        <f>K53</f>
        <v>12321.899442741445</v>
      </c>
      <c r="L528" s="389">
        <f>L53</f>
        <v>12407.283703928075</v>
      </c>
      <c r="M528" s="389">
        <f>M53</f>
        <v>12579.452465465198</v>
      </c>
    </row>
    <row r="529" spans="1:14" outlineLevel="1">
      <c r="A529" s="119"/>
      <c r="B529" s="374" t="s">
        <v>510</v>
      </c>
      <c r="C529" s="373"/>
      <c r="D529" s="373"/>
      <c r="E529" s="373"/>
      <c r="F529" s="382">
        <v>10995</v>
      </c>
      <c r="G529" s="382">
        <v>11251</v>
      </c>
      <c r="H529" s="382">
        <v>10561</v>
      </c>
      <c r="I529" s="389">
        <f>I52</f>
        <v>10595.370821917808</v>
      </c>
      <c r="J529" s="389">
        <f>J52</f>
        <v>10754.301384246575</v>
      </c>
      <c r="K529" s="389">
        <f>K52</f>
        <v>10682.397624991436</v>
      </c>
      <c r="L529" s="389">
        <f>L52</f>
        <v>10767.856805991369</v>
      </c>
      <c r="M529" s="389">
        <f>M52</f>
        <v>11069.356796559126</v>
      </c>
    </row>
    <row r="530" spans="1:14" outlineLevel="1">
      <c r="A530" s="119"/>
      <c r="B530" s="374" t="s">
        <v>115</v>
      </c>
      <c r="C530" s="373"/>
      <c r="D530" s="373"/>
      <c r="E530" s="373"/>
      <c r="F530" s="382">
        <v>521</v>
      </c>
      <c r="G530" s="382">
        <v>543</v>
      </c>
      <c r="H530" s="382">
        <v>479</v>
      </c>
      <c r="I530" s="389">
        <f>I55</f>
        <v>492.80794520547943</v>
      </c>
      <c r="J530" s="389">
        <f>J55</f>
        <v>500.2000643835616</v>
      </c>
      <c r="K530" s="389">
        <f>K55</f>
        <v>502.70106470547938</v>
      </c>
      <c r="L530" s="389">
        <f>L55</f>
        <v>512.75508599958891</v>
      </c>
      <c r="M530" s="389">
        <f>M55</f>
        <v>527.1122284075775</v>
      </c>
    </row>
    <row r="531" spans="1:14" outlineLevel="1">
      <c r="A531" s="119"/>
      <c r="B531" s="374" t="s">
        <v>511</v>
      </c>
      <c r="C531" s="373"/>
      <c r="D531" s="373"/>
      <c r="E531" s="373"/>
      <c r="F531" s="382">
        <v>278</v>
      </c>
      <c r="G531" s="382">
        <v>792</v>
      </c>
      <c r="H531" s="382">
        <v>295</v>
      </c>
      <c r="I531" s="389">
        <f t="shared" ref="I531:M533" si="115">H531</f>
        <v>295</v>
      </c>
      <c r="J531" s="389">
        <f t="shared" si="115"/>
        <v>295</v>
      </c>
      <c r="K531" s="389">
        <f t="shared" si="115"/>
        <v>295</v>
      </c>
      <c r="L531" s="389">
        <f t="shared" si="115"/>
        <v>295</v>
      </c>
      <c r="M531" s="389">
        <f t="shared" si="115"/>
        <v>295</v>
      </c>
    </row>
    <row r="532" spans="1:14" outlineLevel="1">
      <c r="A532" s="119"/>
      <c r="B532" s="374" t="s">
        <v>512</v>
      </c>
      <c r="C532" s="373"/>
      <c r="D532" s="373"/>
      <c r="E532" s="373"/>
      <c r="F532" s="382">
        <v>1284</v>
      </c>
      <c r="G532" s="382">
        <v>1334</v>
      </c>
      <c r="H532" s="382">
        <v>1383</v>
      </c>
      <c r="I532" s="389">
        <f t="shared" si="115"/>
        <v>1383</v>
      </c>
      <c r="J532" s="389">
        <f t="shared" si="115"/>
        <v>1383</v>
      </c>
      <c r="K532" s="389">
        <f t="shared" si="115"/>
        <v>1383</v>
      </c>
      <c r="L532" s="389">
        <f t="shared" si="115"/>
        <v>1383</v>
      </c>
      <c r="M532" s="389">
        <f t="shared" si="115"/>
        <v>1383</v>
      </c>
    </row>
    <row r="533" spans="1:14" outlineLevel="1">
      <c r="A533" s="119"/>
      <c r="B533" s="374" t="s">
        <v>513</v>
      </c>
      <c r="C533" s="373"/>
      <c r="D533" s="373"/>
      <c r="E533" s="373"/>
      <c r="F533" s="382">
        <v>32</v>
      </c>
      <c r="G533" s="382">
        <v>137</v>
      </c>
      <c r="H533" s="382">
        <v>208</v>
      </c>
      <c r="I533" s="389">
        <f t="shared" si="115"/>
        <v>208</v>
      </c>
      <c r="J533" s="389">
        <f t="shared" si="115"/>
        <v>208</v>
      </c>
      <c r="K533" s="389">
        <f t="shared" si="115"/>
        <v>208</v>
      </c>
      <c r="L533" s="389">
        <f t="shared" si="115"/>
        <v>208</v>
      </c>
      <c r="M533" s="389">
        <f t="shared" si="115"/>
        <v>208</v>
      </c>
    </row>
    <row r="534" spans="1:14" outlineLevel="1">
      <c r="A534" s="119"/>
      <c r="B534" s="598" t="s">
        <v>514</v>
      </c>
      <c r="C534" s="373"/>
      <c r="D534" s="373"/>
      <c r="E534" s="373"/>
      <c r="F534" s="604">
        <f t="shared" ref="F534:M534" si="116">F526+F527+F528+F529+F530+F531+F532+F533</f>
        <v>30857</v>
      </c>
      <c r="G534" s="604">
        <f t="shared" si="116"/>
        <v>35188</v>
      </c>
      <c r="H534" s="604">
        <f t="shared" si="116"/>
        <v>31969</v>
      </c>
      <c r="I534" s="604">
        <f t="shared" si="116"/>
        <v>31253.636673507586</v>
      </c>
      <c r="J534" s="604">
        <f t="shared" si="116"/>
        <v>31930.52726408558</v>
      </c>
      <c r="K534" s="604">
        <f t="shared" si="116"/>
        <v>32849.746101929704</v>
      </c>
      <c r="L534" s="604">
        <f t="shared" si="116"/>
        <v>34793.050224923849</v>
      </c>
      <c r="M534" s="604">
        <f t="shared" si="116"/>
        <v>35117.292594482249</v>
      </c>
    </row>
    <row r="535" spans="1:14" outlineLevel="1">
      <c r="A535" s="119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</row>
    <row r="536" spans="1:14" outlineLevel="1">
      <c r="A536" s="119"/>
      <c r="B536" s="606" t="s">
        <v>515</v>
      </c>
      <c r="C536" s="607"/>
      <c r="D536" s="607"/>
      <c r="E536" s="607"/>
      <c r="F536" s="607"/>
      <c r="G536" s="607"/>
      <c r="H536" s="607"/>
      <c r="I536" s="608"/>
      <c r="J536" s="608"/>
      <c r="K536" s="608"/>
      <c r="L536" s="608"/>
      <c r="M536" s="608"/>
      <c r="N536" s="439"/>
    </row>
    <row r="537" spans="1:14" outlineLevel="1">
      <c r="A537" s="119"/>
      <c r="B537" s="374" t="s">
        <v>317</v>
      </c>
      <c r="C537" s="373"/>
      <c r="D537" s="373"/>
      <c r="E537" s="373"/>
      <c r="F537" s="382">
        <v>30467</v>
      </c>
      <c r="G537" s="382">
        <v>33706</v>
      </c>
      <c r="H537" s="382">
        <v>32549</v>
      </c>
      <c r="I537" s="407">
        <f>I97</f>
        <v>34027.226049999997</v>
      </c>
      <c r="J537" s="407">
        <f>J97</f>
        <v>35444.6231685475</v>
      </c>
      <c r="K537" s="407">
        <f>K97</f>
        <v>36854.096153612474</v>
      </c>
      <c r="L537" s="407">
        <f>L97</f>
        <v>38231.019807136974</v>
      </c>
      <c r="M537" s="407">
        <f>M97</f>
        <v>39659.057788705199</v>
      </c>
      <c r="N537" s="439"/>
    </row>
    <row r="538" spans="1:14" outlineLevel="1">
      <c r="A538" s="119"/>
      <c r="B538" s="374" t="s">
        <v>516</v>
      </c>
      <c r="C538" s="373"/>
      <c r="D538" s="373"/>
      <c r="E538" s="373"/>
      <c r="F538" s="382">
        <v>28693</v>
      </c>
      <c r="G538" s="382">
        <v>30595</v>
      </c>
      <c r="H538" s="382">
        <v>27636</v>
      </c>
      <c r="I538" s="407">
        <f>H538-I474</f>
        <v>26691.656774999999</v>
      </c>
      <c r="J538" s="407">
        <f>I538-J474</f>
        <v>25908.874936743749</v>
      </c>
      <c r="K538" s="407">
        <f>J538-K474</f>
        <v>25260.252320480886</v>
      </c>
      <c r="L538" s="407">
        <f>K538-L474</f>
        <v>24719.840507030192</v>
      </c>
      <c r="M538" s="407">
        <f>L538-M474</f>
        <v>24238.369608699857</v>
      </c>
      <c r="N538" s="439"/>
    </row>
    <row r="539" spans="1:14" outlineLevel="1">
      <c r="A539" s="119"/>
      <c r="B539" s="374" t="s">
        <v>318</v>
      </c>
      <c r="C539" s="373"/>
      <c r="D539" s="373"/>
      <c r="E539" s="373"/>
      <c r="F539" s="382">
        <v>18225</v>
      </c>
      <c r="G539" s="382">
        <v>19245</v>
      </c>
      <c r="H539" s="382">
        <v>16673</v>
      </c>
      <c r="I539" s="407">
        <f>I103</f>
        <v>16515.918799999999</v>
      </c>
      <c r="J539" s="407">
        <f>J103</f>
        <v>16357.943297802498</v>
      </c>
      <c r="K539" s="407">
        <f>K103</f>
        <v>16196.528897080727</v>
      </c>
      <c r="L539" s="407">
        <f>L103</f>
        <v>16084.470229698421</v>
      </c>
      <c r="M539" s="407">
        <f>M103</f>
        <v>15971.49047240795</v>
      </c>
      <c r="N539" s="439"/>
    </row>
    <row r="540" spans="1:14" outlineLevel="1">
      <c r="A540" s="119"/>
      <c r="B540" s="374" t="s">
        <v>418</v>
      </c>
      <c r="C540" s="373"/>
      <c r="D540" s="373"/>
      <c r="E540" s="373"/>
      <c r="F540" s="382">
        <v>13088</v>
      </c>
      <c r="G540" s="382">
        <v>14326</v>
      </c>
      <c r="H540" s="382">
        <v>12096</v>
      </c>
      <c r="I540" s="407">
        <f>I347</f>
        <v>12487.050000000001</v>
      </c>
      <c r="J540" s="407">
        <f>J347</f>
        <v>12962.208600000002</v>
      </c>
      <c r="K540" s="407">
        <f>K347</f>
        <v>13457.832948000001</v>
      </c>
      <c r="L540" s="407">
        <f>L347</f>
        <v>13987.387678320001</v>
      </c>
      <c r="M540" s="407">
        <f>M347</f>
        <v>14552.020360180801</v>
      </c>
      <c r="N540" s="439"/>
    </row>
    <row r="541" spans="1:14" outlineLevel="1">
      <c r="A541" s="119"/>
      <c r="B541" s="374" t="s">
        <v>517</v>
      </c>
      <c r="C541" s="373"/>
      <c r="D541" s="373"/>
      <c r="E541" s="373"/>
      <c r="F541" s="382">
        <v>2947</v>
      </c>
      <c r="G541" s="382">
        <v>3650</v>
      </c>
      <c r="H541" s="382">
        <v>3641</v>
      </c>
      <c r="I541" s="407">
        <f t="shared" ref="I541:M544" si="117">H541</f>
        <v>3641</v>
      </c>
      <c r="J541" s="407">
        <f t="shared" si="117"/>
        <v>3641</v>
      </c>
      <c r="K541" s="407">
        <f t="shared" si="117"/>
        <v>3641</v>
      </c>
      <c r="L541" s="407">
        <f t="shared" si="117"/>
        <v>3641</v>
      </c>
      <c r="M541" s="407">
        <f t="shared" si="117"/>
        <v>3641</v>
      </c>
      <c r="N541" s="439"/>
    </row>
    <row r="542" spans="1:14" outlineLevel="1">
      <c r="A542" s="119"/>
      <c r="B542" s="374" t="s">
        <v>518</v>
      </c>
      <c r="C542" s="373"/>
      <c r="D542" s="373"/>
      <c r="E542" s="373"/>
      <c r="F542" s="382">
        <v>130</v>
      </c>
      <c r="G542" s="382">
        <v>84</v>
      </c>
      <c r="H542" s="382">
        <v>229</v>
      </c>
      <c r="I542" s="389">
        <f t="shared" si="117"/>
        <v>229</v>
      </c>
      <c r="J542" s="389">
        <f t="shared" si="117"/>
        <v>229</v>
      </c>
      <c r="K542" s="389">
        <f t="shared" si="117"/>
        <v>229</v>
      </c>
      <c r="L542" s="389">
        <f t="shared" si="117"/>
        <v>229</v>
      </c>
      <c r="M542" s="389">
        <f t="shared" si="117"/>
        <v>229</v>
      </c>
    </row>
    <row r="543" spans="1:14" outlineLevel="1">
      <c r="A543" s="119"/>
      <c r="B543" s="374" t="s">
        <v>519</v>
      </c>
      <c r="C543" s="373"/>
      <c r="D543" s="373"/>
      <c r="E543" s="373"/>
      <c r="F543" s="382">
        <v>962</v>
      </c>
      <c r="G543" s="382">
        <v>1475</v>
      </c>
      <c r="H543" s="382">
        <v>1412</v>
      </c>
      <c r="I543" s="389">
        <f t="shared" si="117"/>
        <v>1412</v>
      </c>
      <c r="J543" s="389">
        <f t="shared" si="117"/>
        <v>1412</v>
      </c>
      <c r="K543" s="389">
        <f t="shared" si="117"/>
        <v>1412</v>
      </c>
      <c r="L543" s="389">
        <f t="shared" si="117"/>
        <v>1412</v>
      </c>
      <c r="M543" s="389">
        <f t="shared" si="117"/>
        <v>1412</v>
      </c>
    </row>
    <row r="544" spans="1:14" outlineLevel="1">
      <c r="A544" s="119"/>
      <c r="B544" s="374" t="s">
        <v>520</v>
      </c>
      <c r="C544" s="373"/>
      <c r="D544" s="373"/>
      <c r="E544" s="373"/>
      <c r="F544" s="382">
        <v>1181</v>
      </c>
      <c r="G544" s="382">
        <v>995</v>
      </c>
      <c r="H544" s="382">
        <v>946</v>
      </c>
      <c r="I544" s="389">
        <f t="shared" si="117"/>
        <v>946</v>
      </c>
      <c r="J544" s="389">
        <f t="shared" si="117"/>
        <v>946</v>
      </c>
      <c r="K544" s="389">
        <f t="shared" si="117"/>
        <v>946</v>
      </c>
      <c r="L544" s="389">
        <f t="shared" si="117"/>
        <v>946</v>
      </c>
      <c r="M544" s="389">
        <f t="shared" si="117"/>
        <v>946</v>
      </c>
    </row>
    <row r="545" spans="1:13" outlineLevel="1">
      <c r="A545" s="119"/>
      <c r="B545" s="598" t="s">
        <v>521</v>
      </c>
      <c r="C545" s="373"/>
      <c r="D545" s="373"/>
      <c r="E545" s="373"/>
      <c r="F545" s="604">
        <f t="shared" ref="F545:M545" si="118">F537+F538+F539+F540+F541+F542+F543+F544</f>
        <v>95693</v>
      </c>
      <c r="G545" s="604">
        <f t="shared" si="118"/>
        <v>104076</v>
      </c>
      <c r="H545" s="604">
        <f t="shared" si="118"/>
        <v>95182</v>
      </c>
      <c r="I545" s="604">
        <f t="shared" si="118"/>
        <v>95949.851624999996</v>
      </c>
      <c r="J545" s="604">
        <f t="shared" si="118"/>
        <v>96901.650003093746</v>
      </c>
      <c r="K545" s="604">
        <f t="shared" si="118"/>
        <v>97996.71031917409</v>
      </c>
      <c r="L545" s="604">
        <f t="shared" si="118"/>
        <v>99250.718222185576</v>
      </c>
      <c r="M545" s="604">
        <f t="shared" si="118"/>
        <v>100648.93822999382</v>
      </c>
    </row>
    <row r="546" spans="1:13" outlineLevel="1">
      <c r="A546" s="119"/>
      <c r="B546" s="598" t="s">
        <v>522</v>
      </c>
      <c r="C546" s="373"/>
      <c r="D546" s="373"/>
      <c r="E546" s="373"/>
      <c r="F546" s="604">
        <f t="shared" ref="F546:M546" si="119">F534+F545</f>
        <v>126550</v>
      </c>
      <c r="G546" s="604">
        <f t="shared" si="119"/>
        <v>139264</v>
      </c>
      <c r="H546" s="604">
        <f t="shared" si="119"/>
        <v>127151</v>
      </c>
      <c r="I546" s="604">
        <f t="shared" si="119"/>
        <v>127203.48829850758</v>
      </c>
      <c r="J546" s="604">
        <f t="shared" si="119"/>
        <v>128832.17726717933</v>
      </c>
      <c r="K546" s="604">
        <f t="shared" si="119"/>
        <v>130846.45642110379</v>
      </c>
      <c r="L546" s="604">
        <f t="shared" si="119"/>
        <v>134043.76844710944</v>
      </c>
      <c r="M546" s="604">
        <f t="shared" si="119"/>
        <v>135766.23082447605</v>
      </c>
    </row>
    <row r="547" spans="1:13" outlineLevel="1">
      <c r="A547" s="119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</row>
    <row r="548" spans="1:13" outlineLevel="1">
      <c r="A548" s="119"/>
      <c r="B548" s="606" t="s">
        <v>523</v>
      </c>
      <c r="C548" s="607"/>
      <c r="D548" s="607"/>
      <c r="E548" s="607"/>
      <c r="F548" s="607"/>
      <c r="G548" s="607"/>
      <c r="H548" s="607"/>
      <c r="I548" s="607"/>
      <c r="J548" s="607"/>
      <c r="K548" s="607"/>
      <c r="L548" s="607"/>
      <c r="M548" s="607"/>
    </row>
    <row r="549" spans="1:13" outlineLevel="1">
      <c r="A549" s="119"/>
      <c r="B549" s="374" t="s">
        <v>524</v>
      </c>
      <c r="C549" s="373"/>
      <c r="D549" s="373"/>
      <c r="E549" s="373"/>
      <c r="F549" s="382">
        <v>9416</v>
      </c>
      <c r="G549" s="382">
        <v>11863</v>
      </c>
      <c r="H549" s="382">
        <v>11606</v>
      </c>
      <c r="I549" s="389">
        <f>I371</f>
        <v>11338.992</v>
      </c>
      <c r="J549" s="389">
        <f>J371</f>
        <v>11225.602080000001</v>
      </c>
      <c r="K549" s="389">
        <f>K371</f>
        <v>11225.602080000001</v>
      </c>
      <c r="L549" s="389">
        <f>L371</f>
        <v>11337.8581008</v>
      </c>
      <c r="M549" s="389">
        <f>M371</f>
        <v>11451.236681807999</v>
      </c>
    </row>
    <row r="550" spans="1:13" outlineLevel="1">
      <c r="A550" s="119"/>
      <c r="B550" s="374" t="s">
        <v>525</v>
      </c>
      <c r="C550" s="373"/>
      <c r="D550" s="373"/>
      <c r="E550" s="373"/>
      <c r="F550" s="382">
        <v>317</v>
      </c>
      <c r="G550" s="382">
        <v>408</v>
      </c>
      <c r="H550" s="382">
        <v>202</v>
      </c>
      <c r="I550" s="389">
        <f>H550</f>
        <v>202</v>
      </c>
      <c r="J550" s="389">
        <f>I550</f>
        <v>202</v>
      </c>
      <c r="K550" s="389">
        <f>J550</f>
        <v>202</v>
      </c>
      <c r="L550" s="389">
        <f>K550</f>
        <v>202</v>
      </c>
      <c r="M550" s="389">
        <f>L550</f>
        <v>202</v>
      </c>
    </row>
    <row r="551" spans="1:13" outlineLevel="1">
      <c r="A551" s="119"/>
      <c r="B551" s="374" t="s">
        <v>526</v>
      </c>
      <c r="C551" s="373"/>
      <c r="D551" s="373"/>
      <c r="E551" s="373"/>
      <c r="F551" s="382">
        <v>19204</v>
      </c>
      <c r="G551" s="382">
        <v>21807</v>
      </c>
      <c r="H551" s="382">
        <v>20023</v>
      </c>
      <c r="I551" s="389">
        <f>I54</f>
        <v>20029.331432876712</v>
      </c>
      <c r="J551" s="389">
        <f>J54</f>
        <v>20404.695508119858</v>
      </c>
      <c r="K551" s="389">
        <f>K54</f>
        <v>20767.246251811426</v>
      </c>
      <c r="L551" s="389">
        <f>L54</f>
        <v>21148.779040786492</v>
      </c>
      <c r="M551" s="389">
        <f>M54</f>
        <v>21688.711147353792</v>
      </c>
    </row>
    <row r="552" spans="1:13" outlineLevel="1">
      <c r="A552" s="119"/>
      <c r="B552" s="374" t="s">
        <v>117</v>
      </c>
      <c r="C552" s="373"/>
      <c r="D552" s="373"/>
      <c r="E552" s="373"/>
      <c r="F552" s="382">
        <v>5112</v>
      </c>
      <c r="G552" s="382">
        <v>5466</v>
      </c>
      <c r="H552" s="382">
        <v>5575</v>
      </c>
      <c r="I552" s="389">
        <f>I56</f>
        <v>5341.1550487671229</v>
      </c>
      <c r="J552" s="389">
        <f>J56</f>
        <v>5441.2521354986284</v>
      </c>
      <c r="K552" s="389">
        <f>K56</f>
        <v>5537.9323338163804</v>
      </c>
      <c r="L552" s="389">
        <f>L56</f>
        <v>5780.6662711483077</v>
      </c>
      <c r="M552" s="389">
        <f>M56</f>
        <v>5928.247713610036</v>
      </c>
    </row>
    <row r="553" spans="1:13" outlineLevel="1">
      <c r="A553" s="119"/>
      <c r="B553" s="374" t="s">
        <v>527</v>
      </c>
      <c r="C553" s="373"/>
      <c r="D553" s="373"/>
      <c r="E553" s="373"/>
      <c r="F553" s="382">
        <v>675</v>
      </c>
      <c r="G553" s="382">
        <v>865</v>
      </c>
      <c r="H553" s="382">
        <v>850</v>
      </c>
      <c r="I553" s="389">
        <f t="shared" ref="I553:M555" si="120">H553</f>
        <v>850</v>
      </c>
      <c r="J553" s="389">
        <f t="shared" si="120"/>
        <v>850</v>
      </c>
      <c r="K553" s="389">
        <f t="shared" si="120"/>
        <v>850</v>
      </c>
      <c r="L553" s="389">
        <f t="shared" si="120"/>
        <v>850</v>
      </c>
      <c r="M553" s="389">
        <f t="shared" si="120"/>
        <v>850</v>
      </c>
    </row>
    <row r="554" spans="1:13" outlineLevel="1">
      <c r="A554" s="119"/>
      <c r="B554" s="374" t="s">
        <v>528</v>
      </c>
      <c r="C554" s="373"/>
      <c r="D554" s="373"/>
      <c r="E554" s="373"/>
      <c r="F554" s="382">
        <v>2360</v>
      </c>
      <c r="G554" s="382">
        <v>2435</v>
      </c>
      <c r="H554" s="382">
        <v>2338</v>
      </c>
      <c r="I554" s="389">
        <f t="shared" si="120"/>
        <v>2338</v>
      </c>
      <c r="J554" s="389">
        <f t="shared" si="120"/>
        <v>2338</v>
      </c>
      <c r="K554" s="389">
        <f t="shared" si="120"/>
        <v>2338</v>
      </c>
      <c r="L554" s="389">
        <f t="shared" si="120"/>
        <v>2338</v>
      </c>
      <c r="M554" s="389">
        <f t="shared" si="120"/>
        <v>2338</v>
      </c>
    </row>
    <row r="555" spans="1:13" outlineLevel="1">
      <c r="A555" s="119"/>
      <c r="B555" s="374" t="s">
        <v>529</v>
      </c>
      <c r="C555" s="373"/>
      <c r="D555" s="373"/>
      <c r="E555" s="373"/>
      <c r="F555" s="382">
        <v>0</v>
      </c>
      <c r="G555" s="382">
        <v>19</v>
      </c>
      <c r="H555" s="382">
        <v>100</v>
      </c>
      <c r="I555" s="389">
        <f t="shared" si="120"/>
        <v>100</v>
      </c>
      <c r="J555" s="389">
        <f t="shared" si="120"/>
        <v>100</v>
      </c>
      <c r="K555" s="389">
        <f t="shared" si="120"/>
        <v>100</v>
      </c>
      <c r="L555" s="389">
        <f t="shared" si="120"/>
        <v>100</v>
      </c>
      <c r="M555" s="389">
        <f t="shared" si="120"/>
        <v>100</v>
      </c>
    </row>
    <row r="556" spans="1:13" outlineLevel="1">
      <c r="A556" s="119"/>
      <c r="B556" s="374" t="s">
        <v>182</v>
      </c>
      <c r="C556" s="373"/>
      <c r="D556" s="373"/>
      <c r="E556" s="373"/>
      <c r="F556" s="382">
        <v>0</v>
      </c>
      <c r="G556" s="382">
        <v>0</v>
      </c>
      <c r="H556" s="382">
        <v>0</v>
      </c>
      <c r="I556" s="389">
        <f>I396</f>
        <v>0</v>
      </c>
      <c r="J556" s="389">
        <f>J396</f>
        <v>0</v>
      </c>
      <c r="K556" s="389">
        <f>K396</f>
        <v>0</v>
      </c>
      <c r="L556" s="389">
        <f>L396</f>
        <v>0</v>
      </c>
      <c r="M556" s="389">
        <f>M396</f>
        <v>0</v>
      </c>
    </row>
    <row r="557" spans="1:13" outlineLevel="1">
      <c r="A557" s="119"/>
      <c r="B557" s="598" t="s">
        <v>530</v>
      </c>
      <c r="C557" s="373"/>
      <c r="D557" s="373"/>
      <c r="E557" s="373"/>
      <c r="F557" s="604">
        <f t="shared" ref="F557:M557" si="121">SUM(F549:F556)</f>
        <v>37084</v>
      </c>
      <c r="G557" s="604">
        <f t="shared" si="121"/>
        <v>42863</v>
      </c>
      <c r="H557" s="604">
        <f t="shared" si="121"/>
        <v>40694</v>
      </c>
      <c r="I557" s="604">
        <f t="shared" si="121"/>
        <v>40199.478481643833</v>
      </c>
      <c r="J557" s="604">
        <f t="shared" si="121"/>
        <v>40561.549723618489</v>
      </c>
      <c r="K557" s="604">
        <f t="shared" si="121"/>
        <v>41020.780665627804</v>
      </c>
      <c r="L557" s="604">
        <f t="shared" si="121"/>
        <v>41757.3034127348</v>
      </c>
      <c r="M557" s="604">
        <f t="shared" si="121"/>
        <v>42558.195542771828</v>
      </c>
    </row>
    <row r="558" spans="1:13" outlineLevel="1">
      <c r="A558" s="119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</row>
    <row r="559" spans="1:13" outlineLevel="1">
      <c r="A559" s="119"/>
      <c r="B559" s="606" t="s">
        <v>531</v>
      </c>
      <c r="C559" s="607"/>
      <c r="D559" s="607"/>
      <c r="E559" s="607"/>
      <c r="F559" s="607"/>
      <c r="G559" s="607"/>
      <c r="H559" s="607"/>
      <c r="I559" s="607"/>
      <c r="J559" s="607"/>
      <c r="K559" s="607"/>
      <c r="L559" s="607"/>
      <c r="M559" s="607"/>
    </row>
    <row r="560" spans="1:13" outlineLevel="1">
      <c r="A560" s="119"/>
      <c r="B560" s="374" t="s">
        <v>524</v>
      </c>
      <c r="C560" s="373"/>
      <c r="D560" s="373"/>
      <c r="E560" s="373"/>
      <c r="F560" s="382">
        <v>45825</v>
      </c>
      <c r="G560" s="382">
        <v>51697</v>
      </c>
      <c r="H560" s="382">
        <v>46246</v>
      </c>
      <c r="I560" s="389">
        <f>I372</f>
        <v>45355.968000000001</v>
      </c>
      <c r="J560" s="389">
        <f>J372</f>
        <v>44902.408320000002</v>
      </c>
      <c r="K560" s="389">
        <f>K372</f>
        <v>44902.408320000002</v>
      </c>
      <c r="L560" s="389">
        <f>L372</f>
        <v>45351.4324032</v>
      </c>
      <c r="M560" s="389">
        <f>M372</f>
        <v>45804.946727231996</v>
      </c>
    </row>
    <row r="561" spans="1:13" outlineLevel="1">
      <c r="A561" s="119"/>
      <c r="B561" s="374" t="s">
        <v>525</v>
      </c>
      <c r="C561" s="373"/>
      <c r="D561" s="373"/>
      <c r="E561" s="373"/>
      <c r="F561" s="382">
        <v>239</v>
      </c>
      <c r="G561" s="382">
        <v>307</v>
      </c>
      <c r="H561" s="382">
        <v>144</v>
      </c>
      <c r="I561" s="389">
        <f t="shared" ref="I561:M563" si="122">H561</f>
        <v>144</v>
      </c>
      <c r="J561" s="389">
        <f t="shared" si="122"/>
        <v>144</v>
      </c>
      <c r="K561" s="389">
        <f t="shared" si="122"/>
        <v>144</v>
      </c>
      <c r="L561" s="389">
        <f t="shared" si="122"/>
        <v>144</v>
      </c>
      <c r="M561" s="389">
        <f t="shared" si="122"/>
        <v>144</v>
      </c>
    </row>
    <row r="562" spans="1:13" outlineLevel="1">
      <c r="A562" s="119"/>
      <c r="B562" s="374" t="s">
        <v>532</v>
      </c>
      <c r="C562" s="373"/>
      <c r="D562" s="373"/>
      <c r="E562" s="373"/>
      <c r="F562" s="382">
        <v>2718</v>
      </c>
      <c r="G562" s="382">
        <v>2629</v>
      </c>
      <c r="H562" s="382">
        <v>2299</v>
      </c>
      <c r="I562" s="389">
        <f t="shared" si="122"/>
        <v>2299</v>
      </c>
      <c r="J562" s="389">
        <f t="shared" si="122"/>
        <v>2299</v>
      </c>
      <c r="K562" s="389">
        <f t="shared" si="122"/>
        <v>2299</v>
      </c>
      <c r="L562" s="389">
        <f t="shared" si="122"/>
        <v>2299</v>
      </c>
      <c r="M562" s="389">
        <f t="shared" si="122"/>
        <v>2299</v>
      </c>
    </row>
    <row r="563" spans="1:13" outlineLevel="1">
      <c r="A563" s="119"/>
      <c r="B563" s="374" t="s">
        <v>527</v>
      </c>
      <c r="C563" s="373"/>
      <c r="D563" s="373"/>
      <c r="E563" s="373"/>
      <c r="F563" s="382">
        <v>1303</v>
      </c>
      <c r="G563" s="382">
        <v>1086</v>
      </c>
      <c r="H563" s="382">
        <v>980</v>
      </c>
      <c r="I563" s="389">
        <f t="shared" si="122"/>
        <v>980</v>
      </c>
      <c r="J563" s="389">
        <f t="shared" si="122"/>
        <v>980</v>
      </c>
      <c r="K563" s="389">
        <f t="shared" si="122"/>
        <v>980</v>
      </c>
      <c r="L563" s="389">
        <f t="shared" si="122"/>
        <v>980</v>
      </c>
      <c r="M563" s="389">
        <f t="shared" si="122"/>
        <v>980</v>
      </c>
    </row>
    <row r="564" spans="1:13" outlineLevel="1">
      <c r="A564" s="119"/>
      <c r="B564" s="374" t="s">
        <v>533</v>
      </c>
      <c r="C564" s="373"/>
      <c r="D564" s="373"/>
      <c r="E564" s="373"/>
      <c r="F564" s="382">
        <v>2886</v>
      </c>
      <c r="G564" s="382">
        <v>3767</v>
      </c>
      <c r="H564" s="382">
        <v>3554</v>
      </c>
      <c r="I564" s="407">
        <f>H564+I485-I458</f>
        <v>3683.1137512769997</v>
      </c>
      <c r="J564" s="407">
        <f>I564+J485-J458</f>
        <v>3816.8249346951097</v>
      </c>
      <c r="K564" s="407">
        <f>J564+K485-K458</f>
        <v>3955.3353627080432</v>
      </c>
      <c r="L564" s="407">
        <f>K564+L485-L458</f>
        <v>4098.8884975792662</v>
      </c>
      <c r="M564" s="407">
        <f>L564+M485-M458</f>
        <v>4235.2020727154795</v>
      </c>
    </row>
    <row r="565" spans="1:13" outlineLevel="1">
      <c r="A565" s="119"/>
      <c r="B565" s="374" t="s">
        <v>534</v>
      </c>
      <c r="C565" s="373"/>
      <c r="D565" s="373"/>
      <c r="E565" s="373"/>
      <c r="F565" s="382">
        <v>108</v>
      </c>
      <c r="G565" s="382">
        <v>222</v>
      </c>
      <c r="H565" s="382">
        <v>176</v>
      </c>
      <c r="I565" s="389">
        <f>H565</f>
        <v>176</v>
      </c>
      <c r="J565" s="389">
        <f>I565</f>
        <v>176</v>
      </c>
      <c r="K565" s="389">
        <f>J565</f>
        <v>176</v>
      </c>
      <c r="L565" s="389">
        <f>K565</f>
        <v>176</v>
      </c>
      <c r="M565" s="389">
        <f>L565</f>
        <v>176</v>
      </c>
    </row>
    <row r="566" spans="1:13" outlineLevel="1">
      <c r="A566" s="119"/>
      <c r="B566" s="598" t="s">
        <v>535</v>
      </c>
      <c r="C566" s="373"/>
      <c r="D566" s="373"/>
      <c r="E566" s="373"/>
      <c r="F566" s="604">
        <f t="shared" ref="F566:M566" si="123">F560+F561+F562+F563+F564+F565</f>
        <v>53079</v>
      </c>
      <c r="G566" s="604">
        <f t="shared" si="123"/>
        <v>59708</v>
      </c>
      <c r="H566" s="604">
        <f t="shared" si="123"/>
        <v>53399</v>
      </c>
      <c r="I566" s="604">
        <f t="shared" si="123"/>
        <v>52638.081751277001</v>
      </c>
      <c r="J566" s="604">
        <f t="shared" si="123"/>
        <v>52318.233254695115</v>
      </c>
      <c r="K566" s="604">
        <f t="shared" si="123"/>
        <v>52456.743682708046</v>
      </c>
      <c r="L566" s="604">
        <f t="shared" si="123"/>
        <v>53049.320900779268</v>
      </c>
      <c r="M566" s="604">
        <f t="shared" si="123"/>
        <v>53639.148799947478</v>
      </c>
    </row>
    <row r="567" spans="1:13" outlineLevel="1">
      <c r="A567" s="119"/>
      <c r="B567" s="598" t="s">
        <v>536</v>
      </c>
      <c r="C567" s="373"/>
      <c r="D567" s="373"/>
      <c r="E567" s="373"/>
      <c r="F567" s="604">
        <f t="shared" ref="F567:M567" si="124">F557+F566</f>
        <v>90163</v>
      </c>
      <c r="G567" s="604">
        <f t="shared" si="124"/>
        <v>102571</v>
      </c>
      <c r="H567" s="604">
        <f t="shared" si="124"/>
        <v>94093</v>
      </c>
      <c r="I567" s="604">
        <f t="shared" si="124"/>
        <v>92837.560232920834</v>
      </c>
      <c r="J567" s="604">
        <f t="shared" si="124"/>
        <v>92879.782978313597</v>
      </c>
      <c r="K567" s="604">
        <f t="shared" si="124"/>
        <v>93477.52434833585</v>
      </c>
      <c r="L567" s="604">
        <f t="shared" si="124"/>
        <v>94806.624313514068</v>
      </c>
      <c r="M567" s="604">
        <f t="shared" si="124"/>
        <v>96197.344342719298</v>
      </c>
    </row>
    <row r="568" spans="1:13" outlineLevel="1">
      <c r="A568" s="119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</row>
    <row r="569" spans="1:13" outlineLevel="1">
      <c r="A569" s="119"/>
      <c r="B569" s="606" t="s">
        <v>32</v>
      </c>
      <c r="C569" s="607"/>
      <c r="D569" s="607"/>
      <c r="E569" s="607"/>
      <c r="F569" s="607"/>
      <c r="G569" s="607"/>
      <c r="H569" s="607"/>
      <c r="I569" s="607"/>
      <c r="J569" s="607"/>
      <c r="K569" s="607"/>
      <c r="L569" s="607"/>
      <c r="M569" s="607"/>
    </row>
    <row r="570" spans="1:13" outlineLevel="1">
      <c r="A570" s="119"/>
      <c r="B570" s="374" t="s">
        <v>537</v>
      </c>
      <c r="C570" s="373"/>
      <c r="D570" s="373"/>
      <c r="E570" s="373"/>
      <c r="F570" s="382">
        <v>267</v>
      </c>
      <c r="G570" s="382">
        <v>262</v>
      </c>
      <c r="H570" s="382">
        <v>258</v>
      </c>
      <c r="I570" s="389">
        <f>H570</f>
        <v>258</v>
      </c>
      <c r="J570" s="389">
        <f>I570</f>
        <v>258</v>
      </c>
      <c r="K570" s="389">
        <f>J570</f>
        <v>258</v>
      </c>
      <c r="L570" s="389">
        <f>K570</f>
        <v>258</v>
      </c>
      <c r="M570" s="389">
        <f>L570</f>
        <v>258</v>
      </c>
    </row>
    <row r="571" spans="1:13" outlineLevel="1">
      <c r="A571" s="119"/>
      <c r="B571" s="374" t="s">
        <v>538</v>
      </c>
      <c r="C571" s="373"/>
      <c r="D571" s="373"/>
      <c r="E571" s="373"/>
      <c r="F571" s="382">
        <v>-5155</v>
      </c>
      <c r="G571" s="382">
        <v>-4283</v>
      </c>
      <c r="H571" s="382">
        <v>-388</v>
      </c>
      <c r="I571" s="389">
        <f>-I432</f>
        <v>-388</v>
      </c>
      <c r="J571" s="389">
        <f>-J432</f>
        <v>-388</v>
      </c>
      <c r="K571" s="389">
        <f>-K432</f>
        <v>-388</v>
      </c>
      <c r="L571" s="389">
        <f>-L432</f>
        <v>-388</v>
      </c>
      <c r="M571" s="389">
        <f>-M432</f>
        <v>-2388</v>
      </c>
    </row>
    <row r="572" spans="1:13" outlineLevel="1">
      <c r="A572" s="119"/>
      <c r="B572" s="374" t="s">
        <v>539</v>
      </c>
      <c r="C572" s="373"/>
      <c r="D572" s="373"/>
      <c r="E572" s="373"/>
      <c r="F572" s="382">
        <v>-27581</v>
      </c>
      <c r="G572" s="382">
        <v>-26788</v>
      </c>
      <c r="H572" s="382">
        <v>-29944</v>
      </c>
      <c r="I572" s="389">
        <f>H572+I511</f>
        <v>-29944</v>
      </c>
      <c r="J572" s="389">
        <f>I572+J511</f>
        <v>-29944</v>
      </c>
      <c r="K572" s="389">
        <f>J572+K511</f>
        <v>-29944</v>
      </c>
      <c r="L572" s="389">
        <f>K572+L511</f>
        <v>-29944</v>
      </c>
      <c r="M572" s="389">
        <f>L572+M511</f>
        <v>-29944</v>
      </c>
    </row>
    <row r="573" spans="1:13" outlineLevel="1">
      <c r="A573" s="119"/>
      <c r="B573" s="374" t="s">
        <v>540</v>
      </c>
      <c r="C573" s="373"/>
      <c r="D573" s="373"/>
      <c r="E573" s="373"/>
      <c r="F573" s="382">
        <v>-50</v>
      </c>
      <c r="G573" s="382">
        <v>363</v>
      </c>
      <c r="H573" s="382">
        <v>-667</v>
      </c>
      <c r="I573" s="389">
        <f>H573</f>
        <v>-667</v>
      </c>
      <c r="J573" s="389">
        <f>I573</f>
        <v>-667</v>
      </c>
      <c r="K573" s="389">
        <f>J573</f>
        <v>-667</v>
      </c>
      <c r="L573" s="389">
        <f>K573</f>
        <v>-667</v>
      </c>
      <c r="M573" s="389">
        <f>L573</f>
        <v>-667</v>
      </c>
    </row>
    <row r="574" spans="1:13" outlineLevel="1">
      <c r="A574" s="119"/>
      <c r="B574" s="374" t="s">
        <v>541</v>
      </c>
      <c r="C574" s="373"/>
      <c r="D574" s="373"/>
      <c r="E574" s="373"/>
      <c r="F574" s="382">
        <v>68261</v>
      </c>
      <c r="G574" s="382">
        <v>66363</v>
      </c>
      <c r="H574" s="382">
        <v>63551</v>
      </c>
      <c r="I574" s="389">
        <f>I418</f>
        <v>64799.638488724246</v>
      </c>
      <c r="J574" s="389">
        <f>J418</f>
        <v>66324.249353952735</v>
      </c>
      <c r="K574" s="389">
        <f>K418</f>
        <v>67679.187825630972</v>
      </c>
      <c r="L574" s="389">
        <f>L418</f>
        <v>69482.10518280862</v>
      </c>
      <c r="M574" s="389">
        <f>M418</f>
        <v>71744.779333453364</v>
      </c>
    </row>
    <row r="575" spans="1:13" outlineLevel="1">
      <c r="A575" s="119"/>
      <c r="B575" s="598" t="s">
        <v>542</v>
      </c>
      <c r="C575" s="373"/>
      <c r="D575" s="373"/>
      <c r="E575" s="373"/>
      <c r="F575" s="604">
        <f t="shared" ref="F575:M575" si="125">F570+F571+F572+F573+F574</f>
        <v>35742</v>
      </c>
      <c r="G575" s="604">
        <f t="shared" si="125"/>
        <v>35917</v>
      </c>
      <c r="H575" s="604">
        <f t="shared" si="125"/>
        <v>32810</v>
      </c>
      <c r="I575" s="604">
        <f t="shared" si="125"/>
        <v>34058.638488724246</v>
      </c>
      <c r="J575" s="604">
        <f t="shared" si="125"/>
        <v>35583.249353952735</v>
      </c>
      <c r="K575" s="604">
        <f t="shared" si="125"/>
        <v>36938.187825630972</v>
      </c>
      <c r="L575" s="604">
        <f t="shared" si="125"/>
        <v>38741.10518280862</v>
      </c>
      <c r="M575" s="604">
        <f t="shared" si="125"/>
        <v>39003.779333453364</v>
      </c>
    </row>
    <row r="576" spans="1:13" outlineLevel="1">
      <c r="A576" s="119"/>
      <c r="B576" s="374" t="s">
        <v>197</v>
      </c>
      <c r="C576" s="373"/>
      <c r="D576" s="373"/>
      <c r="E576" s="373"/>
      <c r="F576" s="382">
        <v>645</v>
      </c>
      <c r="G576" s="382">
        <v>776</v>
      </c>
      <c r="H576" s="382">
        <v>248</v>
      </c>
      <c r="I576" s="389">
        <f>I426</f>
        <v>307.28957686249998</v>
      </c>
      <c r="J576" s="389">
        <f>J426</f>
        <v>369.14493491299078</v>
      </c>
      <c r="K576" s="389">
        <f>K426</f>
        <v>430.74424713695169</v>
      </c>
      <c r="L576" s="389">
        <f>L426</f>
        <v>496.03895078672872</v>
      </c>
      <c r="M576" s="389">
        <f>M426</f>
        <v>565.10714830335701</v>
      </c>
    </row>
    <row r="577" spans="1:14" outlineLevel="1">
      <c r="A577" s="119"/>
      <c r="B577" s="598" t="s">
        <v>543</v>
      </c>
      <c r="C577" s="373"/>
      <c r="D577" s="373"/>
      <c r="E577" s="373"/>
      <c r="F577" s="604">
        <f t="shared" ref="F577:M577" si="126">F575+F576</f>
        <v>36387</v>
      </c>
      <c r="G577" s="604">
        <f t="shared" si="126"/>
        <v>36693</v>
      </c>
      <c r="H577" s="604">
        <f t="shared" si="126"/>
        <v>33058</v>
      </c>
      <c r="I577" s="604">
        <f t="shared" si="126"/>
        <v>34365.928065586748</v>
      </c>
      <c r="J577" s="604">
        <f t="shared" si="126"/>
        <v>35952.394288865726</v>
      </c>
      <c r="K577" s="604">
        <f t="shared" si="126"/>
        <v>37368.932072767922</v>
      </c>
      <c r="L577" s="604">
        <f t="shared" si="126"/>
        <v>39237.14413359535</v>
      </c>
      <c r="M577" s="604">
        <f t="shared" si="126"/>
        <v>39568.886481756723</v>
      </c>
    </row>
    <row r="578" spans="1:14" outlineLevel="1">
      <c r="A578" s="119"/>
      <c r="B578" s="598" t="s">
        <v>544</v>
      </c>
      <c r="C578" s="373"/>
      <c r="D578" s="373"/>
      <c r="E578" s="373"/>
      <c r="F578" s="604">
        <f t="shared" ref="F578:M578" si="127">F567+F577</f>
        <v>126550</v>
      </c>
      <c r="G578" s="604">
        <f t="shared" si="127"/>
        <v>139264</v>
      </c>
      <c r="H578" s="604">
        <f t="shared" si="127"/>
        <v>127151</v>
      </c>
      <c r="I578" s="604">
        <f t="shared" si="127"/>
        <v>127203.48829850758</v>
      </c>
      <c r="J578" s="604">
        <f t="shared" si="127"/>
        <v>128832.17726717933</v>
      </c>
      <c r="K578" s="604">
        <f t="shared" si="127"/>
        <v>130846.45642110377</v>
      </c>
      <c r="L578" s="604">
        <f t="shared" si="127"/>
        <v>134043.76844710941</v>
      </c>
      <c r="M578" s="604">
        <f t="shared" si="127"/>
        <v>135766.23082447602</v>
      </c>
    </row>
    <row r="579" spans="1:14" outlineLevel="1">
      <c r="A579" s="119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</row>
    <row r="580" spans="1:14" outlineLevel="1">
      <c r="A580" s="119" t="s">
        <v>26</v>
      </c>
      <c r="B580" s="610" t="s">
        <v>545</v>
      </c>
      <c r="C580" s="373"/>
      <c r="D580" s="373"/>
      <c r="E580" s="373"/>
      <c r="F580" s="611">
        <f t="shared" ref="F580:M580" si="128">IF(ABS(F578-F546)&lt;0.001,0,1)</f>
        <v>0</v>
      </c>
      <c r="G580" s="611">
        <f t="shared" si="128"/>
        <v>0</v>
      </c>
      <c r="H580" s="611">
        <f t="shared" si="128"/>
        <v>0</v>
      </c>
      <c r="I580" s="611">
        <f t="shared" si="128"/>
        <v>0</v>
      </c>
      <c r="J580" s="611">
        <f t="shared" si="128"/>
        <v>0</v>
      </c>
      <c r="K580" s="611">
        <f t="shared" si="128"/>
        <v>0</v>
      </c>
      <c r="L580" s="611">
        <f t="shared" si="128"/>
        <v>0</v>
      </c>
      <c r="M580" s="611">
        <f t="shared" si="128"/>
        <v>0</v>
      </c>
    </row>
    <row r="581" spans="1:14" outlineLevel="1">
      <c r="A581" s="119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</row>
    <row r="582" spans="1:14" outlineLevel="1">
      <c r="A582" s="119" t="s">
        <v>26</v>
      </c>
      <c r="B582" s="398"/>
      <c r="C582" s="381"/>
      <c r="D582" s="381"/>
      <c r="E582" s="381"/>
      <c r="F582" s="399"/>
      <c r="G582" s="399"/>
      <c r="H582" s="399"/>
      <c r="I582" s="392"/>
      <c r="J582" s="392"/>
      <c r="K582" s="392"/>
      <c r="L582" s="392"/>
      <c r="M582" s="392"/>
      <c r="N582" s="392"/>
    </row>
    <row r="583" spans="1:14">
      <c r="A583" s="119"/>
      <c r="B583" s="418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</row>
    <row r="584" spans="1:14">
      <c r="A584" s="119"/>
      <c r="B584" s="418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</row>
    <row r="585" spans="1:14">
      <c r="B585" s="612" t="s">
        <v>546</v>
      </c>
    </row>
    <row r="586" spans="1:14">
      <c r="B586" s="612" t="s">
        <v>547</v>
      </c>
    </row>
    <row r="587" spans="1:14">
      <c r="B587" s="612" t="s">
        <v>548</v>
      </c>
    </row>
    <row r="588" spans="1:14">
      <c r="B588" s="612" t="s">
        <v>549</v>
      </c>
    </row>
  </sheetData>
  <conditionalFormatting sqref="I226:N226">
    <cfRule type="expression" dxfId="0" priority="1">
      <formula>I226=1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Output</vt:lpstr>
      <vt:lpstr>Input</vt:lpstr>
      <vt:lpstr>Model</vt:lpstr>
      <vt:lpstr>ScenarioSwitch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Rivan</dc:creator>
  <cp:lastModifiedBy>Mohammed Rivan</cp:lastModifiedBy>
  <dcterms:created xsi:type="dcterms:W3CDTF">2026-09-23T20:03:45Z</dcterms:created>
  <dcterms:modified xsi:type="dcterms:W3CDTF">2026-10-03T08:52:59Z</dcterms:modified>
</cp:coreProperties>
</file>